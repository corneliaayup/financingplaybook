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db27eb086a458e" /></Relationships>
</file>

<file path=xl/workbook.xml><?xml version="1.0" encoding="utf-8"?>
<x:workbook xmlns:x="http://schemas.openxmlformats.org/spreadsheetml/2006/main">
  <x:sheets>
    <x:sheet xmlns:r="http://schemas.openxmlformats.org/officeDocument/2006/relationships" name="Framework" sheetId="1" r:id="R9a0b3b7cef1646ce"/>
    <x:sheet xmlns:r="http://schemas.openxmlformats.org/officeDocument/2006/relationships" name="Questionnaire" sheetId="2" r:id="Rd7c882289d8648cb"/>
    <x:sheet xmlns:r="http://schemas.openxmlformats.org/officeDocument/2006/relationships" name="CRI Context" sheetId="3" r:id="Rc89832b4bfce42a0"/>
    <x:sheet xmlns:r="http://schemas.openxmlformats.org/officeDocument/2006/relationships" name="Scoring" sheetId="4" r:id="R87544e6f1d0c44ce"/>
    <x:sheet xmlns:r="http://schemas.openxmlformats.org/officeDocument/2006/relationships" name="TCO" sheetId="5" r:id="Re9171ed80fb245fa"/>
    <x:sheet xmlns:r="http://schemas.openxmlformats.org/officeDocument/2006/relationships" name="Economic Readiness" sheetId="6" r:id="Raa61ae8b09af45c8"/>
    <x:sheet xmlns:r="http://schemas.openxmlformats.org/officeDocument/2006/relationships" name="Scheme Library" sheetId="7" r:id="R4a77ba15c1f14658"/>
    <x:sheet xmlns:r="http://schemas.openxmlformats.org/officeDocument/2006/relationships" name="Scheme Match" sheetId="8" r:id="R83ca43604241418a"/>
    <x:sheet xmlns:r="http://schemas.openxmlformats.org/officeDocument/2006/relationships" name="Dashboard" sheetId="9" r:id="Rf026a340c16d4411"/>
    <x:sheet xmlns:r="http://schemas.openxmlformats.org/officeDocument/2006/relationships" name="Playbook" sheetId="10" r:id="R4845643a62e949a5"/>
    <x:sheet xmlns:r="http://schemas.openxmlformats.org/officeDocument/2006/relationships" name="Example" sheetId="11" r:id="Rd2c469ac75cb4ef3"/>
    <x:sheet xmlns:r="http://schemas.openxmlformats.org/officeDocument/2006/relationships" name="Notes" sheetId="12" r:id="R877ab4c59ab341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5"/>
      <x:color rgb="FFFFFFFF"/>
      <x:name val="Carlito"/>
    </x:font>
    <x:font>
      <x:b/>
      <x:sz val="11"/>
      <x:color rgb="FFFFFFFF"/>
      <x:name val="Carlito"/>
    </x:font>
    <x:font>
      <x:sz val="11"/>
      <x:color rgb="FF0000FF"/>
      <x:name val="Carlito"/>
    </x:font>
    <x:font>
      <x:sz val="11"/>
      <x:color rgb="FF000000"/>
      <x:name val="Carlito"/>
    </x:font>
    <x:font>
      <x:b/>
      <x:sz val="13"/>
      <x:color rgb="FFFFFFFF"/>
      <x:name val="Carlito"/>
    </x:font>
  </x:fonts>
  <x:fills count="7">
    <x:fill>
      <x:patternFill patternType="none"/>
    </x:fill>
    <x:fill>
      <x:patternFill patternType="gray125"/>
    </x:fill>
    <x:fill>
      <x:patternFill patternType="solid">
        <x:fgColor rgb="FF17324D"/>
      </x:patternFill>
    </x:fill>
    <x:fill>
      <x:patternFill patternType="solid">
        <x:fgColor rgb="FF0F766E"/>
      </x:patternFill>
    </x:fill>
    <x:fill>
      <x:patternFill patternType="solid">
        <x:fgColor rgb="FFFFF2CC"/>
      </x:patternFill>
    </x:fill>
    <x:fill>
      <x:patternFill patternType="solid">
        <x:fgColor rgb="FF17324D"/>
      </x:patternFill>
    </x:fill>
    <x:fill>
      <x:patternFill patternType="solid">
        <x:fgColor rgb="FF0F766E"/>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0" xfId="0" applyNumberFormat="1" applyFont="1" applyFill="1" applyBorder="1"/>
    <x:xf numFmtId="0" fontId="3" fillId="4"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5" fillId="5" borderId="0" xfId="0" applyNumberFormat="1" applyFont="1" applyFill="1" applyBorder="1" applyAlignment="1">
      <x:alignment wrapText="1"/>
    </x:xf>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0b07fd8cf64103" /><Relationship Type="http://schemas.openxmlformats.org/officeDocument/2006/relationships/theme" Target="/xl/theme/theme1.xml" Id="R28ebd1c9073343e7" /><Relationship Type="http://schemas.openxmlformats.org/officeDocument/2006/relationships/sharedStrings" Target="/xl/sharedStrings.xml" Id="R4bfe7949f8aa476a" /><Relationship Type="http://schemas.openxmlformats.org/officeDocument/2006/relationships/worksheet" Target="/xl/worksheets/sheet1.xml" Id="R9a0b3b7cef1646ce" /><Relationship Type="http://schemas.openxmlformats.org/officeDocument/2006/relationships/worksheet" Target="/xl/worksheets/sheet2.xml" Id="Rd7c882289d8648cb" /><Relationship Type="http://schemas.openxmlformats.org/officeDocument/2006/relationships/worksheet" Target="/xl/worksheets/sheet3.xml" Id="Rc89832b4bfce42a0" /><Relationship Type="http://schemas.openxmlformats.org/officeDocument/2006/relationships/worksheet" Target="/xl/worksheets/sheet4.xml" Id="R87544e6f1d0c44ce" /><Relationship Type="http://schemas.openxmlformats.org/officeDocument/2006/relationships/worksheet" Target="/xl/worksheets/sheet5.xml" Id="Re9171ed80fb245fa" /><Relationship Type="http://schemas.openxmlformats.org/officeDocument/2006/relationships/worksheet" Target="/xl/worksheets/sheet6.xml" Id="Raa61ae8b09af45c8" /><Relationship Type="http://schemas.openxmlformats.org/officeDocument/2006/relationships/worksheet" Target="/xl/worksheets/sheet7.xml" Id="R4a77ba15c1f14658" /><Relationship Type="http://schemas.openxmlformats.org/officeDocument/2006/relationships/worksheet" Target="/xl/worksheets/sheet8.xml" Id="R83ca43604241418a" /><Relationship Type="http://schemas.openxmlformats.org/officeDocument/2006/relationships/worksheet" Target="/xl/worksheets/sheet9.xml" Id="Rf026a340c16d4411" /><Relationship Type="http://schemas.openxmlformats.org/officeDocument/2006/relationships/worksheet" Target="/xl/worksheets/sheet10.xml" Id="R4845643a62e949a5" /><Relationship Type="http://schemas.openxmlformats.org/officeDocument/2006/relationships/worksheet" Target="/xl/worksheets/sheet11.xml" Id="Rd2c469ac75cb4ef3" /><Relationship Type="http://schemas.openxmlformats.org/officeDocument/2006/relationships/worksheet" Target="/xl/worksheets/sheet12.xml" Id="R877ab4c59ab3417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a012168bc8143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Financing Instrument Fit Score</a:t>
            </a:r>
          </a:p>
        </c:rich>
      </c:tx>
    </c:title>
    <c:plotArea>
      <c:barChart>
        <c:barDir val="col"/>
        <c:grouping val="clustered"/>
        <c:varyColors val="0"/>
        <c:ser>
          <c:idx val="0"/>
          <c:order val="0"/>
          <c:tx>
            <c:v>Fit Score</c:v>
          </c:tx>
          <c:cat>
            <c:strRef>
              <c:f>'Dashboard'!$D$4:$D$11</c:f>
              <c:strCache>
                <c:ptCount val="0"/>
              </c:strCache>
            </c:strRef>
          </c:cat>
          <c:val>
            <c:numRef>
              <c:f>'Dashboard'!$E$4:$E$11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012168bc81431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658470192f904bf0" /></Relationships>
</file>

<file path=xl/worksheets/sheet1.xml><?xml version="1.0" encoding="utf-8"?>
<x:worksheet xmlns:x="http://schemas.openxmlformats.org/spreadsheetml/2006/main">
  <x:sheetFormatPr defaultRowHeight="15"/>
  <x:cols>
    <x:col min="1" max="1" width="24" hidden="0" customWidth="1"/>
    <x:col min="2" max="2" width="34" hidden="0" customWidth="1"/>
    <x:col min="3" max="3" width="42" hidden="0" customWidth="1"/>
    <x:col min="4" max="4" width="32" hidden="0" customWidth="1"/>
    <x:col min="5" max="5" width="24" hidden="0" customWidth="1"/>
    <x:col min="6" max="6" width="12" hidden="0" customWidth="1"/>
    <x:col min="7" max="7" width="46" hidden="0" customWidth="1"/>
  </x:cols>
  <x:sheetData>
    <x:row r="1">
      <x:c r="A1" s="4" t="str">
        <x:v>FINANCING PLAYBOOK – MASTER FRAMEWORK</x:v>
      </x:c>
    </x:row>
    <x:row r="3">
      <x:c r="A3" s="12" t="str">
        <x:v>Layer</x:v>
      </x:c>
      <x:c r="B3" s="12" t="str">
        <x:v>Purpose</x:v>
      </x:c>
      <x:c r="C3" s="12" t="str">
        <x:v>Data source</x:v>
      </x:c>
      <x:c r="D3" s="12" t="str">
        <x:v>Output</x:v>
      </x:c>
      <x:c r="E3" s="12" t="str">
        <x:v>Analysis level</x:v>
      </x:c>
      <x:c r="F3" s="12" t="str">
        <x:v>Scored?</x:v>
      </x:c>
      <x:c r="G3" s="12" t="str">
        <x:v>Connection</x:v>
      </x:c>
    </x:row>
    <x:row r="4">
      <x:c r="A4" s="18" t="str">
        <x:v>Consumer Readiness</x:v>
      </x:c>
      <x:c r="B4" s="18" t="str">
        <x:v>Demand / adoption signal</x:v>
      </x:c>
      <x:c r="C4" s="18" t="str">
        <x:v>Bu Andani SCE + attitude</x:v>
      </x:c>
      <x:c r="D4" s="18" t="str">
        <x:v>Consumer Readiness 0–100</x:v>
      </x:c>
      <x:c r="E4" s="18" t="str">
        <x:v>City / segment</x:v>
      </x:c>
      <x:c r="F4" s="18" t="str">
        <x:v>Yes</x:v>
      </x:c>
      <x:c r="G4" s="18" t="str">
        <x:v>Existing readiness input</x:v>
      </x:c>
    </x:row>
    <x:row r="5">
      <x:c r="A5" s="18" t="str">
        <x:v>City CRI</x:v>
      </x:c>
      <x:c r="B5" s="18" t="str">
        <x:v>Ecosystem readiness</x:v>
      </x:c>
      <x:c r="C5" s="18" t="str">
        <x:v>Pak Tilaka: economic scale, infrastructure, policy/support, aftersales</x:v>
      </x:c>
      <x:c r="D5" s="18" t="str">
        <x:v>City Readiness Index</x:v>
      </x:c>
      <x:c r="E5" s="18" t="str">
        <x:v>City</x:v>
      </x:c>
      <x:c r="F5" s="18" t="str">
        <x:v>Yes</x:v>
      </x:c>
      <x:c r="G5" s="18" t="str">
        <x:v>Existing city context</x:v>
      </x:c>
    </x:row>
    <x:row r="6">
      <x:c r="A6" s="18" t="str">
        <x:v>Financing Need</x:v>
      </x:c>
      <x:c r="B6" s="18" t="str">
        <x:v>External finance requirement</x:v>
      </x:c>
      <x:c r="C6" s="18" t="str">
        <x:v>FN1–FN4</x:v>
      </x:c>
      <x:c r="D6" s="18" t="str">
        <x:v>Financing Need Index 0–100</x:v>
      </x:c>
      <x:c r="E6" s="18" t="str">
        <x:v>Stakeholder / project</x:v>
      </x:c>
      <x:c r="F6" s="18" t="str">
        <x:v>Yes</x:v>
      </x:c>
      <x:c r="G6" s="18" t="str">
        <x:v>Borrower-side need</x:v>
      </x:c>
    </x:row>
    <x:row r="7">
      <x:c r="A7" s="18" t="str">
        <x:v>Risk Profile</x:v>
      </x:c>
      <x:c r="B7" s="18" t="str">
        <x:v>Preferred risk transfer</x:v>
      </x:c>
      <x:c r="C7" s="18" t="str">
        <x:v>Ownership + RP2a–RP2e</x:v>
      </x:c>
      <x:c r="D7" s="18" t="str">
        <x:v>Risk Profile Index 0–100</x:v>
      </x:c>
      <x:c r="E7" s="18" t="str">
        <x:v>Stakeholder / project</x:v>
      </x:c>
      <x:c r="F7" s="18" t="str">
        <x:v>Yes</x:v>
      </x:c>
      <x:c r="G7" s="18" t="str">
        <x:v>Risk allocation</x:v>
      </x:c>
    </x:row>
    <x:row r="8">
      <x:c r="A8" s="18" t="str">
        <x:v>TCO</x:v>
      </x:c>
      <x:c r="B8" s="18" t="str">
        <x:v>Economic case</x:v>
      </x:c>
      <x:c r="C8" s="18" t="str">
        <x:v>Vehicle, operation, cost and support inputs</x:v>
      </x:c>
      <x:c r="D8" s="18" t="str">
        <x:v>Cost/km, saving, payback, break-even</x:v>
      </x:c>
      <x:c r="E8" s="18" t="str">
        <x:v>Project / use case</x:v>
      </x:c>
      <x:c r="F8" s="18" t="str">
        <x:v>Derived</x:v>
      </x:c>
      <x:c r="G8" s="18" t="str">
        <x:v>Economic evidence</x:v>
      </x:c>
    </x:row>
    <x:row r="9">
      <x:c r="A9" s="18" t="str">
        <x:v>Sustainable Finance</x:v>
      </x:c>
      <x:c r="B9" s="18" t="str">
        <x:v>Green finance fit</x:v>
      </x:c>
      <x:c r="C9" s="18" t="str">
        <x:v>SF1–SF4</x:v>
      </x:c>
      <x:c r="D9" s="18" t="str">
        <x:v>Support / finance profile</x:v>
      </x:c>
      <x:c r="E9" s="18" t="str">
        <x:v>Stakeholder / project</x:v>
      </x:c>
      <x:c r="F9" s="18" t="str">
        <x:v>No</x:v>
      </x:c>
      <x:c r="G9" s="18" t="str">
        <x:v>Refines scheme matching</x:v>
      </x:c>
    </x:row>
    <x:row r="10">
      <x:c r="A10" s="18" t="str">
        <x:v>Financing Supply</x:v>
      </x:c>
      <x:c r="B10" s="18" t="str">
        <x:v>Provider capability</x:v>
      </x:c>
      <x:c r="C10" s="18" t="str">
        <x:v>Bank / leasing / OEM / BaaS / FaaS responses</x:v>
      </x:c>
      <x:c r="D10" s="18" t="str">
        <x:v>Supply profile</x:v>
      </x:c>
      <x:c r="E10" s="18" t="str">
        <x:v>Provider</x:v>
      </x:c>
      <x:c r="F10" s="18" t="str">
        <x:v>No</x:v>
      </x:c>
      <x:c r="G10" s="18" t="str">
        <x:v>Demand–supply matching</x:v>
      </x:c>
    </x:row>
    <x:row r="11">
      <x:c r="A11" s="18" t="str">
        <x:v>Scheme Matching</x:v>
      </x:c>
      <x:c r="B11" s="18" t="str">
        <x:v>Compare schemes</x:v>
      </x:c>
      <x:c r="C11" s="18" t="str">
        <x:v>Need + risk + TCO + operation + payment + support</x:v>
      </x:c>
      <x:c r="D11" s="18" t="str">
        <x:v>Fit score per scheme</x:v>
      </x:c>
      <x:c r="E11" s="18" t="str">
        <x:v>Case</x:v>
      </x:c>
      <x:c r="F11" s="18" t="str">
        <x:v>Derived</x:v>
      </x:c>
      <x:c r="G11" s="18" t="str">
        <x:v>Primary / alternative</x:v>
      </x:c>
    </x:row>
    <x:row r="12">
      <x:c r="A12" s="18" t="str">
        <x:v>Financing Playbook</x:v>
      </x:c>
      <x:c r="B12" s="18" t="str">
        <x:v>Actionable financing design</x:v>
      </x:c>
      <x:c r="C12" s="18" t="str">
        <x:v>All prior outputs</x:v>
      </x:c>
      <x:c r="D12" s="18" t="str">
        <x:v>Financing structure + risk allocation + conditions</x:v>
      </x:c>
      <x:c r="E12" s="18" t="str">
        <x:v>Case / segment / city</x:v>
      </x:c>
      <x:c r="F12" s="18" t="str">
        <x:v>No</x:v>
      </x:c>
      <x:c r="G12" s="18" t="str">
        <x:v>Final implementation guide</x:v>
      </x:c>
    </x:row>
    <x:row r="15">
      <x:c r="A15" t="str">
        <x:v>FORMULA MAP</x:v>
      </x:c>
      <x:c r="B15" t="str"/>
      <x:c r="C15" t="str"/>
      <x:c r="D15" t="str"/>
      <x:c r="E15" t="str"/>
      <x:c r="F15" t="str"/>
      <x:c r="G15" t="str"/>
    </x:row>
    <x:row r="16">
      <x:c r="A16" t="str">
        <x:v>Consumer Readiness</x:v>
      </x:c>
      <x:c r="B16" t="str">
        <x:v>60% SCE Preference + 25% General Attitude + 15% Cold-chain Attitude</x:v>
      </x:c>
      <x:c r="C16" t="str"/>
      <x:c r="D16" t="str"/>
      <x:c r="E16" t="str"/>
      <x:c r="F16" t="str"/>
      <x:c r="G16" t="str"/>
    </x:row>
    <x:row r="17">
      <x:c r="A17" t="str">
        <x:v>Financing Need Score</x:v>
      </x:c>
      <x:c r="B17" t="str">
        <x:v>25% FN1 + 25% FN2 + 25% FN3 + 25% FN4</x:v>
      </x:c>
      <x:c r="C17" t="str"/>
      <x:c r="D17" t="str"/>
      <x:c r="E17" t="str"/>
      <x:c r="F17" t="str"/>
      <x:c r="G17" t="str"/>
    </x:row>
    <x:row r="18">
      <x:c r="A18" t="str">
        <x:v>Financing Need Index</x:v>
      </x:c>
      <x:c r="B18" t="str">
        <x:v>(Score − 1) / 4 × 100</x:v>
      </x:c>
      <x:c r="C18" t="str"/>
      <x:c r="D18" t="str"/>
      <x:c r="E18" t="str"/>
      <x:c r="F18" t="str"/>
      <x:c r="G18" t="str"/>
    </x:row>
    <x:row r="19">
      <x:c r="A19" t="str">
        <x:v>Risk Tolerance</x:v>
      </x:c>
      <x:c r="B19" t="str">
        <x:v>Average of RP2a–RP2e</x:v>
      </x:c>
      <x:c r="C19" t="str"/>
      <x:c r="D19" t="str"/>
      <x:c r="E19" t="str"/>
      <x:c r="F19" t="str"/>
      <x:c r="G19" t="str"/>
    </x:row>
    <x:row r="20">
      <x:c r="A20" t="str">
        <x:v>Risk Profile Score</x:v>
      </x:c>
      <x:c r="B20" t="str">
        <x:v>50% Ownership + 50% Risk Tolerance</x:v>
      </x:c>
      <x:c r="C20" t="str"/>
      <x:c r="D20" t="str"/>
      <x:c r="E20" t="str"/>
      <x:c r="F20" t="str"/>
      <x:c r="G20" t="str"/>
    </x:row>
    <x:row r="21">
      <x:c r="A21" t="str">
        <x:v>Risk Profile Index</x:v>
      </x:c>
      <x:c r="B21" t="str">
        <x:v>(Score − 1) / 4 × 100</x:v>
      </x:c>
      <x:c r="C21" t="str"/>
      <x:c r="D21" t="str"/>
      <x:c r="E21" t="str"/>
      <x:c r="F21" t="str"/>
      <x:c r="G21" t="str"/>
    </x:row>
    <x:row r="22">
      <x:c r="A22" t="str">
        <x:v>Scheme Fit Score</x:v>
      </x:c>
      <x:c r="B22" t="str">
        <x:v>20% Need + 20% Risk + 20% TCO + 15% Operational + 10% Payment + 15% Support/SF</x:v>
      </x:c>
      <x:c r="C22" t="str"/>
      <x:c r="D22" t="str"/>
      <x:c r="E22" t="str"/>
      <x:c r="F22" t="str"/>
      <x:c r="G22" t="str"/>
    </x:row>
    <x:row r="24">
      <x:c r="A24" s="40" t="str">
        <x:v>DATA ARCHITECTURE – UPDATED</x:v>
      </x:c>
      <x:c r="B24" s="40" t="str"/>
      <x:c r="C24" s="40" t="str"/>
      <x:c r="D24" s="40" t="str"/>
      <x:c r="E24" s="40" t="str"/>
      <x:c r="F24" s="40" t="str"/>
      <x:c r="G24" s="40" t="str"/>
    </x:row>
    <x:row r="25">
      <x:c r="A25" s="18" t="str">
        <x:v>Open / public layer</x:v>
      </x:c>
      <x:c r="B25" s="18" t="str">
        <x:v>BPS, PLN/ESDM, OJK, regulations, OEM/dealer, fuel-price and public financing information</x:v>
      </x:c>
      <x:c r="C25" s="18" t="str">
        <x:v>Pre-populate city/market/TCO benchmark fields</x:v>
      </x:c>
      <x:c r="D25" s="18" t="str">
        <x:v>Reduces respondent burden</x:v>
      </x:c>
      <x:c r="E25" s="18" t="str"/>
      <x:c r="F25" s="18" t="str"/>
      <x:c r="G25" s="18" t="str"/>
    </x:row>
    <x:row r="26">
      <x:c r="A26" s="18" t="str">
        <x:v>Existing assessment layer</x:v>
      </x:c>
      <x:c r="B26" s="18" t="str">
        <x:v>Bu Andani + Pak Tilaka approved outputs</x:v>
      </x:c>
      <x:c r="C26" s="18" t="str">
        <x:v>Consumer Readiness + City CRI</x:v>
      </x:c>
      <x:c r="D26" s="18" t="str">
        <x:v>Do not re-ask</x:v>
      </x:c>
      <x:c r="E26" s="18" t="str"/>
      <x:c r="F26" s="18" t="str"/>
      <x:c r="G26" s="18" t="str"/>
    </x:row>
    <x:row r="27">
      <x:c r="A27" s="18" t="str">
        <x:v>Respondent layer</x:v>
      </x:c>
      <x:c r="B27" s="18" t="str">
        <x:v>Financing Need, Risk Profile, actual operating/project inputs, preferences</x:v>
      </x:c>
      <x:c r="C27" s="18" t="str">
        <x:v>Financing Profile + TCO refinement</x:v>
      </x:c>
      <x:c r="D27" s="18" t="str">
        <x:v>Ask only where not available publicly</x:v>
      </x:c>
      <x:c r="E27" s="18" t="str"/>
      <x:c r="F27" s="18" t="str"/>
      <x:c r="G27" s="18" t="str"/>
    </x:row>
    <x:row r="28">
      <x:c r="A28" s="18" t="str">
        <x:v>Provider validation layer</x:v>
      </x:c>
      <x:c r="B28" s="18" t="str">
        <x:v>Bank/leasing/OEM/BaaS/FaaS provider responses</x:v>
      </x:c>
      <x:c r="C28" s="18" t="str">
        <x:v>Financing Supply Profile</x:v>
      </x:c>
      <x:c r="D28" s="18" t="str">
        <x:v>Validate transaction terms</x:v>
      </x:c>
      <x:c r="E28" s="18" t="str"/>
      <x:c r="F28" s="18" t="str"/>
      <x:c r="G28" s="18" t="str"/>
    </x:row>
    <x:row r="29">
      <x:c r="A29" s="18" t="str">
        <x:v>Derived layer</x:v>
      </x:c>
      <x:c r="B29" s="18" t="str">
        <x:v>Scoring engine + TCO + matching rules</x:v>
      </x:c>
      <x:c r="C29" s="18" t="str">
        <x:v>Economic evidence + Scheme Matching</x:v>
      </x:c>
      <x:c r="D29" s="18" t="str">
        <x:v>No direct survey question</x:v>
      </x:c>
      <x:c r="E29" s="18" t="str"/>
      <x:c r="F29" s="18" t="str"/>
      <x:c r="G29" s="18" t="str"/>
    </x:row>
    <x:row r="30">
      <x:c r="A30" s="18" t="str">
        <x:v>Final output</x:v>
      </x:c>
      <x:c r="B30" s="18" t="str">
        <x:v>All layers</x:v>
      </x:c>
      <x:c r="C30" s="18" t="str">
        <x:v>Financing Playbook</x:v>
      </x:c>
      <x:c r="D30" s="18" t="str">
        <x:v>Structure + risk allocation + support + conditions</x:v>
      </x:c>
      <x:c r="E30" s="18" t="str"/>
      <x:c r="F30" s="18" t="str"/>
      <x:c r="G30" s="18" t="str"/>
    </x:row>
  </x:sheetData>
  <x:mergeCells>
    <x:mergeCell ref="A1:G1"/>
    <x:mergeCell ref="B16:G16"/>
    <x:mergeCell ref="B17:G17"/>
    <x:mergeCell ref="B18:G18"/>
    <x:mergeCell ref="B19:G19"/>
    <x:mergeCell ref="B20:G20"/>
    <x:mergeCell ref="B21:G21"/>
    <x:mergeCell ref="B22:G22"/>
    <x:mergeCell ref="A24:G24"/>
    <x:mergeCell ref="B25:G25"/>
    <x:mergeCell ref="B26:G26"/>
    <x:mergeCell ref="B27:G27"/>
    <x:mergeCell ref="B28:G28"/>
    <x:mergeCell ref="B29:G29"/>
    <x:mergeCell ref="B30:G3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20" hidden="0" customWidth="1"/>
    <x:col min="4" max="4" width="34" hidden="0" customWidth="1"/>
    <x:col min="5" max="5" width="34" hidden="0" customWidth="1"/>
    <x:col min="6" max="6" width="22" hidden="0" customWidth="1"/>
    <x:col min="7" max="7" width="22" hidden="0" customWidth="1"/>
    <x:col min="8" max="8" width="28" hidden="0" customWidth="1"/>
    <x:col min="9" max="9" width="36" hidden="0" customWidth="1"/>
    <x:col min="10" max="10" width="42" hidden="0" customWidth="1"/>
  </x:cols>
  <x:sheetData>
    <x:row r="1">
      <x:c r="A1" s="4" t="str">
        <x:v>MASTER FINANCING PLAYBOOK QUESTIONNAIRE – COLD CHAIN &amp; GOVERNMENT FLEET</x:v>
      </x:c>
    </x:row>
    <x:row r="3">
      <x:c r="A3" s="12" t="str">
        <x:v>ID</x:v>
      </x:c>
      <x:c r="B3" s="12" t="str">
        <x:v>Section</x:v>
      </x:c>
      <x:c r="C3" s="12" t="str">
        <x:v>Target respondent</x:v>
      </x:c>
      <x:c r="D3" s="12" t="str">
        <x:v>Question</x:v>
      </x:c>
      <x:c r="E3" s="12" t="str">
        <x:v>Response type</x:v>
      </x:c>
      <x:c r="F3" s="12" t="str">
        <x:v>Scale / Options</x:v>
      </x:c>
      <x:c r="G3" s="12" t="str">
        <x:v>Routing</x:v>
      </x:c>
      <x:c r="H3" s="12" t="str">
        <x:v>Scoring role</x:v>
      </x:c>
      <x:c r="I3" s="41" t="str">
        <x:v>Response / Input</x:v>
      </x:c>
      <x:c r="J3" s="41" t="str">
        <x:v>Notes</x:v>
      </x:c>
    </x:row>
    <x:row r="4">
      <x:c r="A4" s="18" t="str">
        <x:v>A1</x:v>
      </x:c>
      <x:c r="B4" s="18" t="str">
        <x:v>Respondent &amp; Context</x:v>
      </x:c>
      <x:c r="C4" s="18" t="str">
        <x:v>All</x:v>
      </x:c>
      <x:c r="D4" s="18" t="str">
        <x:v>Stakeholder type?</x:v>
      </x:c>
      <x:c r="E4" s="18" t="str">
        <x:v>Single choice</x:v>
      </x:c>
      <x:c r="F4" s="18" t="str">
        <x:v>Logistics operator / Cold-chain operator / Government fleet / Regulator / Bank / Leasing / OEM / BaaS-FaaS / Charging-Energy provider</x:v>
      </x:c>
      <x:c r="G4" s="18" t="str">
        <x:v>All</x:v>
      </x:c>
      <x:c r="H4" s="18" t="str">
        <x:v>Context</x:v>
      </x:c>
      <x:c r="I4" s="22" t="str"/>
      <x:c r="J4" s="18" t="str"/>
    </x:row>
    <x:row r="5">
      <x:c r="A5" s="18" t="str">
        <x:v>A2</x:v>
      </x:c>
      <x:c r="B5" s="18" t="str">
        <x:v>Respondent &amp; Context</x:v>
      </x:c>
      <x:c r="C5" s="18" t="str">
        <x:v>All</x:v>
      </x:c>
      <x:c r="D5" s="18" t="str">
        <x:v>City / operating area?</x:v>
      </x:c>
      <x:c r="E5" s="18" t="str">
        <x:v>Text / list</x:v>
      </x:c>
      <x:c r="F5" s="18" t="str">
        <x:v>Select city / region</x:v>
      </x:c>
      <x:c r="G5" s="18" t="str">
        <x:v>All</x:v>
      </x:c>
      <x:c r="H5" s="18" t="str">
        <x:v>Context</x:v>
      </x:c>
      <x:c r="I5" s="22" t="str">
        <x:v>Jakarta</x:v>
      </x:c>
      <x:c r="J5" s="18" t="str"/>
    </x:row>
    <x:row r="6">
      <x:c r="A6" s="18" t="str">
        <x:v>A3</x:v>
      </x:c>
      <x:c r="B6" s="18" t="str">
        <x:v>Respondent &amp; Context</x:v>
      </x:c>
      <x:c r="C6" s="18" t="str">
        <x:v>All</x:v>
      </x:c>
      <x:c r="D6" s="18" t="str">
        <x:v>Use case?</x:v>
      </x:c>
      <x:c r="E6" s="18" t="str">
        <x:v>Single choice</x:v>
      </x:c>
      <x:c r="F6" s="18" t="str">
        <x:v>General freight / Cold chain / Government fleet</x:v>
      </x:c>
      <x:c r="G6" s="18" t="str">
        <x:v>All</x:v>
      </x:c>
      <x:c r="H6" s="18" t="str">
        <x:v>Context</x:v>
      </x:c>
      <x:c r="I6" s="22" t="str">
        <x:v>Cold chain</x:v>
      </x:c>
      <x:c r="J6" s="18" t="str"/>
    </x:row>
    <x:row r="7">
      <x:c r="A7" s="18" t="str">
        <x:v>A4</x:v>
      </x:c>
      <x:c r="B7" s="18" t="str">
        <x:v>Respondent &amp; Context</x:v>
      </x:c>
      <x:c r="C7" s="18" t="str">
        <x:v>Operator / Government</x:v>
      </x:c>
      <x:c r="D7" s="18" t="str">
        <x:v>Operation segment?</x:v>
      </x:c>
      <x:c r="E7" s="18" t="str">
        <x:v>Single choice</x:v>
      </x:c>
      <x:c r="F7" s="18" t="str">
        <x:v>Intracity / Intercity / Long-haul / Mixed</x:v>
      </x:c>
      <x:c r="G7" s="18" t="str">
        <x:v>Operator / Government</x:v>
      </x:c>
      <x:c r="H7" s="18" t="str">
        <x:v>Matching</x:v>
      </x:c>
      <x:c r="I7" s="22" t="str">
        <x:v>Intercity</x:v>
      </x:c>
      <x:c r="J7" s="18" t="str"/>
    </x:row>
    <x:row r="8">
      <x:c r="A8" s="18" t="str">
        <x:v>A5</x:v>
      </x:c>
      <x:c r="B8" s="18" t="str">
        <x:v>Respondent &amp; Context</x:v>
      </x:c>
      <x:c r="C8" s="18" t="str">
        <x:v>Operator / Government</x:v>
      </x:c>
      <x:c r="D8" s="18" t="str">
        <x:v>Vehicle class?</x:v>
      </x:c>
      <x:c r="E8" s="18" t="str">
        <x:v>Single choice</x:v>
      </x:c>
      <x:c r="F8" s="18" t="str">
        <x:v>Light / Medium / Heavy</x:v>
      </x:c>
      <x:c r="G8" s="18" t="str">
        <x:v>Operator / Government</x:v>
      </x:c>
      <x:c r="H8" s="18" t="str">
        <x:v>Matching</x:v>
      </x:c>
      <x:c r="I8" s="22" t="str">
        <x:v>Heavy</x:v>
      </x:c>
      <x:c r="J8" s="18" t="str"/>
    </x:row>
    <x:row r="9">
      <x:c r="A9" s="18" t="str">
        <x:v>A6</x:v>
      </x:c>
      <x:c r="B9" s="18" t="str">
        <x:v>Respondent &amp; Context</x:v>
      </x:c>
      <x:c r="C9" s="18" t="str">
        <x:v>Operator / Government</x:v>
      </x:c>
      <x:c r="D9" s="18" t="str">
        <x:v>Is refrigeration required?</x:v>
      </x:c>
      <x:c r="E9" s="18" t="str">
        <x:v>Yes/No</x:v>
      </x:c>
      <x:c r="F9" s="18" t="str">
        <x:v>Yes / No</x:v>
      </x:c>
      <x:c r="G9" s="18" t="str">
        <x:v>Cold chain only</x:v>
      </x:c>
      <x:c r="H9" s="18" t="str">
        <x:v>Matching</x:v>
      </x:c>
      <x:c r="I9" s="22" t="str">
        <x:v>Yes</x:v>
      </x:c>
      <x:c r="J9" s="18" t="str"/>
    </x:row>
    <x:row r="10">
      <x:c r="A10" s="18" t="str">
        <x:v>FN1</x:v>
      </x:c>
      <x:c r="B10" s="18" t="str">
        <x:v>Financing Need</x:v>
      </x:c>
      <x:c r="C10" s="18" t="str">
        <x:v>Operator / Government</x:v>
      </x:c>
      <x:c r="D10" s="18" t="str">
        <x:v>Seberapa besar kebutuhan pembiayaan eksternal untuk pengadaan/penggunaan EV?</x:v>
      </x:c>
      <x:c r="E10" s="18" t="str">
        <x:v>1–5 Likert</x:v>
      </x:c>
      <x:c r="F10" s="18" t="str">
        <x:v>1 Very low → 5 Very high</x:v>
      </x:c>
      <x:c r="G10" s="18" t="str">
        <x:v>Operator / Government</x:v>
      </x:c>
      <x:c r="H10" s="18" t="str">
        <x:v>Core FIN</x:v>
      </x:c>
      <x:c r="I10" s="22" t="n">
        <x:v>5</x:v>
      </x:c>
      <x:c r="J10" s="18" t="str"/>
    </x:row>
    <x:row r="11">
      <x:c r="A11" s="18" t="str">
        <x:v>FN2</x:v>
      </x:c>
      <x:c r="B11" s="18" t="str">
        <x:v>Financing Need</x:v>
      </x:c>
      <x:c r="C11" s="18" t="str">
        <x:v>Operator / Government</x:v>
      </x:c>
      <x:c r="D11" s="18" t="str">
        <x:v>Seberapa terbatas kemampuan menggunakan dana internal/anggaran untuk membiayai investasi EV?</x:v>
      </x:c>
      <x:c r="E11" s="18" t="str">
        <x:v>1–5 Likert</x:v>
      </x:c>
      <x:c r="F11" s="18" t="str">
        <x:v>1 Very capable → 5 Very limited</x:v>
      </x:c>
      <x:c r="G11" s="18" t="str">
        <x:v>Operator / Government</x:v>
      </x:c>
      <x:c r="H11" s="18" t="str">
        <x:v>Core FIN</x:v>
      </x:c>
      <x:c r="I11" s="22" t="n">
        <x:v>4</x:v>
      </x:c>
      <x:c r="J11" s="18" t="str"/>
    </x:row>
    <x:row r="12">
      <x:c r="A12" s="18" t="str">
        <x:v>FN3</x:v>
      </x:c>
      <x:c r="B12" s="18" t="str">
        <x:v>Financing Need</x:v>
      </x:c>
      <x:c r="C12" s="18" t="str">
        <x:v>Operator / Government</x:v>
      </x:c>
      <x:c r="D12" s="18" t="str">
        <x:v>Seberapa penting menghindari upfront payment besar melalui cicilan, leasing, atau usage-based payment?</x:v>
      </x:c>
      <x:c r="E12" s="18" t="str">
        <x:v>1–5 Likert</x:v>
      </x:c>
      <x:c r="F12" s="18" t="str">
        <x:v>1 Not important → 5 Very important</x:v>
      </x:c>
      <x:c r="G12" s="18" t="str">
        <x:v>Operator / Government</x:v>
      </x:c>
      <x:c r="H12" s="18" t="str">
        <x:v>Core FIN</x:v>
      </x:c>
      <x:c r="I12" s="22" t="n">
        <x:v>5</x:v>
      </x:c>
      <x:c r="J12" s="18" t="str"/>
    </x:row>
    <x:row r="13">
      <x:c r="A13" s="18" t="str">
        <x:v>FN4</x:v>
      </x:c>
      <x:c r="B13" s="18" t="str">
        <x:v>Financing Need</x:v>
      </x:c>
      <x:c r="C13" s="18" t="str">
        <x:v>Operator / Government</x:v>
      </x:c>
      <x:c r="D13" s="18" t="str">
        <x:v>Seberapa besar dukungan eksternal diperlukan agar adopsi EV feasible?</x:v>
      </x:c>
      <x:c r="E13" s="18" t="str">
        <x:v>1–5 Likert</x:v>
      </x:c>
      <x:c r="F13" s="18" t="str">
        <x:v>1 Not needed → 5 Very high</x:v>
      </x:c>
      <x:c r="G13" s="18" t="str">
        <x:v>Operator / Government</x:v>
      </x:c>
      <x:c r="H13" s="18" t="str">
        <x:v>Core FIN</x:v>
      </x:c>
      <x:c r="I13" s="22" t="n">
        <x:v>5</x:v>
      </x:c>
      <x:c r="J13" s="18" t="str"/>
    </x:row>
    <x:row r="14">
      <x:c r="A14" s="18" t="str">
        <x:v>RP1</x:v>
      </x:c>
      <x:c r="B14" s="18" t="str">
        <x:v>Risk Profile</x:v>
      </x:c>
      <x:c r="C14" s="18" t="str">
        <x:v>Operator / Government</x:v>
      </x:c>
      <x:c r="D14" s="18" t="str">
        <x:v>Model penggunaan aset mana yang paling sesuai?</x:v>
      </x:c>
      <x:c r="E14" s="18" t="str">
        <x:v>1–5 Likert</x:v>
      </x:c>
      <x:c r="F14" s="18" t="str">
        <x:v>1 Full ownership → 5 Full service / outsourcing</x:v>
      </x:c>
      <x:c r="G14" s="18" t="str">
        <x:v>Operator / Government</x:v>
      </x:c>
      <x:c r="H14" s="18" t="str">
        <x:v>Core RISK</x:v>
      </x:c>
      <x:c r="I14" s="22" t="n">
        <x:v>5</x:v>
      </x:c>
      <x:c r="J14" s="18" t="str"/>
    </x:row>
    <x:row r="15">
      <x:c r="A15" s="18" t="str">
        <x:v>RP2a</x:v>
      </x:c>
      <x:c r="B15" s="18" t="str">
        <x:v>Risk Profile</x:v>
      </x:c>
      <x:c r="C15" s="18" t="str">
        <x:v>Operator / Government</x:v>
      </x:c>
      <x:c r="D15" s="18" t="str">
        <x:v>Seberapa kuat preferensi agar pihak lain menanggung/berbagi technology risk?</x:v>
      </x:c>
      <x:c r="E15" s="18" t="str">
        <x:v>1–5 Likert</x:v>
      </x:c>
      <x:c r="F15" s="18" t="str">
        <x:v>1 Bear → 5 Transfer/share</x:v>
      </x:c>
      <x:c r="G15" s="18" t="str">
        <x:v>Operator / Government</x:v>
      </x:c>
      <x:c r="H15" s="18" t="str">
        <x:v>Risk Tolerance</x:v>
      </x:c>
      <x:c r="I15" s="22" t="n">
        <x:v>4</x:v>
      </x:c>
      <x:c r="J15" s="18" t="str"/>
    </x:row>
    <x:row r="16">
      <x:c r="A16" s="18" t="str">
        <x:v>RP2b</x:v>
      </x:c>
      <x:c r="B16" s="18" t="str">
        <x:v>Risk Profile</x:v>
      </x:c>
      <x:c r="C16" s="18" t="str">
        <x:v>Operator / Government</x:v>
      </x:c>
      <x:c r="D16" s="18" t="str">
        <x:v>Seberapa kuat preferensi agar pihak lain menanggung/berbagi battery degradation/replacement risk?</x:v>
      </x:c>
      <x:c r="E16" s="18" t="str">
        <x:v>1–5 Likert</x:v>
      </x:c>
      <x:c r="F16" s="18" t="str">
        <x:v>1 Bear → 5 Transfer/share</x:v>
      </x:c>
      <x:c r="G16" s="18" t="str">
        <x:v>Operator / Government</x:v>
      </x:c>
      <x:c r="H16" s="18" t="str">
        <x:v>Risk Tolerance</x:v>
      </x:c>
      <x:c r="I16" s="22" t="n">
        <x:v>5</x:v>
      </x:c>
      <x:c r="J16" s="18" t="str"/>
    </x:row>
    <x:row r="17">
      <x:c r="A17" s="18" t="str">
        <x:v>RP2c</x:v>
      </x:c>
      <x:c r="B17" s="18" t="str">
        <x:v>Risk Profile</x:v>
      </x:c>
      <x:c r="C17" s="18" t="str">
        <x:v>Operator / Government</x:v>
      </x:c>
      <x:c r="D17" s="18" t="str">
        <x:v>Seberapa kuat preferensi agar pihak lain menanggung/berbagi residual-value risk?</x:v>
      </x:c>
      <x:c r="E17" s="18" t="str">
        <x:v>1–5 Likert</x:v>
      </x:c>
      <x:c r="F17" s="18" t="str">
        <x:v>1 Bear → 5 Transfer/share</x:v>
      </x:c>
      <x:c r="G17" s="18" t="str">
        <x:v>Operator / Government</x:v>
      </x:c>
      <x:c r="H17" s="18" t="str">
        <x:v>Risk Tolerance</x:v>
      </x:c>
      <x:c r="I17" s="22" t="n">
        <x:v>5</x:v>
      </x:c>
      <x:c r="J17" s="18" t="str"/>
    </x:row>
    <x:row r="18">
      <x:c r="A18" s="18" t="str">
        <x:v>RP2d</x:v>
      </x:c>
      <x:c r="B18" s="18" t="str">
        <x:v>Risk Profile</x:v>
      </x:c>
      <x:c r="C18" s="18" t="str">
        <x:v>Operator / Government</x:v>
      </x:c>
      <x:c r="D18" s="18" t="str">
        <x:v>Seberapa kuat preferensi agar pihak lain menanggung/berbagi maintenance risk?</x:v>
      </x:c>
      <x:c r="E18" s="18" t="str">
        <x:v>1–5 Likert</x:v>
      </x:c>
      <x:c r="F18" s="18" t="str">
        <x:v>1 Bear → 5 Transfer/share</x:v>
      </x:c>
      <x:c r="G18" s="18" t="str">
        <x:v>Operator / Government</x:v>
      </x:c>
      <x:c r="H18" s="18" t="str">
        <x:v>Risk Tolerance</x:v>
      </x:c>
      <x:c r="I18" s="22" t="n">
        <x:v>4</x:v>
      </x:c>
      <x:c r="J18" s="18" t="str"/>
    </x:row>
    <x:row r="19">
      <x:c r="A19" s="18" t="str">
        <x:v>RP2e</x:v>
      </x:c>
      <x:c r="B19" s="18" t="str">
        <x:v>Risk Profile</x:v>
      </x:c>
      <x:c r="C19" s="18" t="str">
        <x:v>Operator / Government</x:v>
      </x:c>
      <x:c r="D19" s="18" t="str">
        <x:v>Seberapa kuat preferensi agar pihak lain menanggung/berbagi performance/downtime risk?</x:v>
      </x:c>
      <x:c r="E19" s="18" t="str">
        <x:v>1–5 Likert</x:v>
      </x:c>
      <x:c r="F19" s="18" t="str">
        <x:v>1 Bear → 5 Transfer/share</x:v>
      </x:c>
      <x:c r="G19" s="18" t="str">
        <x:v>Operator / Government</x:v>
      </x:c>
      <x:c r="H19" s="18" t="str">
        <x:v>Risk Tolerance</x:v>
      </x:c>
      <x:c r="I19" s="22" t="n">
        <x:v>5</x:v>
      </x:c>
      <x:c r="J19" s="18" t="str"/>
    </x:row>
    <x:row r="20">
      <x:c r="A20" s="18" t="str">
        <x:v>TC1</x:v>
      </x:c>
      <x:c r="B20" s="18" t="str">
        <x:v>TCO – Common</x:v>
      </x:c>
      <x:c r="C20" s="18" t="str">
        <x:v>Operator / Government</x:v>
      </x:c>
      <x:c r="D20" s="18" t="str">
        <x:v>Operating days per year?</x:v>
      </x:c>
      <x:c r="E20" s="18" t="str">
        <x:v>Numeric</x:v>
      </x:c>
      <x:c r="F20" s="18" t="str">
        <x:v>Days/year</x:v>
      </x:c>
      <x:c r="G20" s="18" t="str">
        <x:v>Operator / Government</x:v>
      </x:c>
      <x:c r="H20" s="18" t="str">
        <x:v>TCO</x:v>
      </x:c>
      <x:c r="I20" s="22" t="n">
        <x:v>300</x:v>
      </x:c>
      <x:c r="J20" s="18" t="str"/>
    </x:row>
    <x:row r="21">
      <x:c r="A21" s="18" t="str">
        <x:v>TC2</x:v>
      </x:c>
      <x:c r="B21" s="18" t="str">
        <x:v>TCO – Common</x:v>
      </x:c>
      <x:c r="C21" s="18" t="str">
        <x:v>Operator / Government</x:v>
      </x:c>
      <x:c r="D21" s="18" t="str">
        <x:v>Average daily mileage?</x:v>
      </x:c>
      <x:c r="E21" s="18" t="str">
        <x:v>Numeric</x:v>
      </x:c>
      <x:c r="F21" s="18" t="str">
        <x:v>km/day</x:v>
      </x:c>
      <x:c r="G21" s="18" t="str">
        <x:v>Operator / Government</x:v>
      </x:c>
      <x:c r="H21" s="18" t="str">
        <x:v>TCO</x:v>
      </x:c>
      <x:c r="I21" s="22" t="n">
        <x:v>167</x:v>
      </x:c>
      <x:c r="J21" s="18" t="str"/>
    </x:row>
    <x:row r="22">
      <x:c r="A22" s="18" t="str">
        <x:v>TC3</x:v>
      </x:c>
      <x:c r="B22" s="18" t="str">
        <x:v>TCO – Common</x:v>
      </x:c>
      <x:c r="C22" s="18" t="str">
        <x:v>Operator / Government</x:v>
      </x:c>
      <x:c r="D22" s="18" t="str">
        <x:v>Vehicle lifetime?</x:v>
      </x:c>
      <x:c r="E22" s="18" t="str">
        <x:v>Numeric</x:v>
      </x:c>
      <x:c r="F22" s="18" t="str">
        <x:v>Years</x:v>
      </x:c>
      <x:c r="G22" s="18" t="str">
        <x:v>Operator / Government</x:v>
      </x:c>
      <x:c r="H22" s="18" t="str">
        <x:v>TCO</x:v>
      </x:c>
      <x:c r="I22" s="22" t="n">
        <x:v>8</x:v>
      </x:c>
      <x:c r="J22" s="18" t="str"/>
    </x:row>
    <x:row r="23">
      <x:c r="A23" s="18" t="str">
        <x:v>TC4</x:v>
      </x:c>
      <x:c r="B23" s="18" t="str">
        <x:v>TCO – Common</x:v>
      </x:c>
      <x:c r="C23" s="18" t="str">
        <x:v>Operator / Government</x:v>
      </x:c>
      <x:c r="D23" s="18" t="str">
        <x:v>EV acquisition price / benchmark?</x:v>
      </x:c>
      <x:c r="E23" s="18" t="str">
        <x:v>Numeric</x:v>
      </x:c>
      <x:c r="F23" s="18" t="str">
        <x:v>Rp million/unit</x:v>
      </x:c>
      <x:c r="G23" s="18" t="str">
        <x:v>Operator / Government</x:v>
      </x:c>
      <x:c r="H23" s="18" t="str">
        <x:v>TCO</x:v>
      </x:c>
      <x:c r="I23" s="22" t="n">
        <x:v>850</x:v>
      </x:c>
      <x:c r="J23" s="18" t="str"/>
    </x:row>
    <x:row r="24">
      <x:c r="A24" s="18" t="str">
        <x:v>TC5</x:v>
      </x:c>
      <x:c r="B24" s="18" t="str">
        <x:v>TCO – Common</x:v>
      </x:c>
      <x:c r="C24" s="18" t="str">
        <x:v>Operator / Government</x:v>
      </x:c>
      <x:c r="D24" s="18" t="str">
        <x:v>Diesel acquisition price / benchmark?</x:v>
      </x:c>
      <x:c r="E24" s="18" t="str">
        <x:v>Numeric</x:v>
      </x:c>
      <x:c r="F24" s="18" t="str">
        <x:v>Rp million/unit</x:v>
      </x:c>
      <x:c r="G24" s="18" t="str">
        <x:v>Operator / Government</x:v>
      </x:c>
      <x:c r="H24" s="18" t="str">
        <x:v>TCO</x:v>
      </x:c>
      <x:c r="I24" s="22" t="n">
        <x:v>500</x:v>
      </x:c>
      <x:c r="J24" s="18" t="str"/>
    </x:row>
    <x:row r="25">
      <x:c r="A25" s="18" t="str">
        <x:v>TC6</x:v>
      </x:c>
      <x:c r="B25" s="18" t="str">
        <x:v>TCO – Common</x:v>
      </x:c>
      <x:c r="C25" s="18" t="str">
        <x:v>Operator / Government</x:v>
      </x:c>
      <x:c r="D25" s="18" t="str">
        <x:v>EV energy cost per km?</x:v>
      </x:c>
      <x:c r="E25" s="18" t="str">
        <x:v>Numeric</x:v>
      </x:c>
      <x:c r="F25" s="18" t="str">
        <x:v>Rp/km</x:v>
      </x:c>
      <x:c r="G25" s="18" t="str">
        <x:v>Operator / Government</x:v>
      </x:c>
      <x:c r="H25" s="18" t="str">
        <x:v>TCO</x:v>
      </x:c>
      <x:c r="I25" s="22" t="n">
        <x:v>450</x:v>
      </x:c>
      <x:c r="J25" s="18" t="str"/>
    </x:row>
    <x:row r="26">
      <x:c r="A26" s="18" t="str">
        <x:v>TC7</x:v>
      </x:c>
      <x:c r="B26" s="18" t="str">
        <x:v>TCO – Common</x:v>
      </x:c>
      <x:c r="C26" s="18" t="str">
        <x:v>Operator / Government</x:v>
      </x:c>
      <x:c r="D26" s="18" t="str">
        <x:v>Diesel fuel cost per km?</x:v>
      </x:c>
      <x:c r="E26" s="18" t="str">
        <x:v>Numeric</x:v>
      </x:c>
      <x:c r="F26" s="18" t="str">
        <x:v>Rp/km</x:v>
      </x:c>
      <x:c r="G26" s="18" t="str">
        <x:v>Operator / Government</x:v>
      </x:c>
      <x:c r="H26" s="18" t="str">
        <x:v>TCO</x:v>
      </x:c>
      <x:c r="I26" s="22" t="n">
        <x:v>906</x:v>
      </x:c>
      <x:c r="J26" s="18" t="str"/>
    </x:row>
    <x:row r="27">
      <x:c r="A27" s="18" t="str">
        <x:v>TC8</x:v>
      </x:c>
      <x:c r="B27" s="18" t="str">
        <x:v>TCO – Common</x:v>
      </x:c>
      <x:c r="C27" s="18" t="str">
        <x:v>Operator / Government</x:v>
      </x:c>
      <x:c r="D27" s="18" t="str">
        <x:v>EV maintenance cost per year?</x:v>
      </x:c>
      <x:c r="E27" s="18" t="str">
        <x:v>Numeric</x:v>
      </x:c>
      <x:c r="F27" s="18" t="str">
        <x:v>Rp million/year</x:v>
      </x:c>
      <x:c r="G27" s="18" t="str">
        <x:v>Operator / Government</x:v>
      </x:c>
      <x:c r="H27" s="18" t="str">
        <x:v>TCO</x:v>
      </x:c>
      <x:c r="I27" s="22" t="n">
        <x:v>25</x:v>
      </x:c>
      <x:c r="J27" s="18" t="str"/>
    </x:row>
    <x:row r="28">
      <x:c r="A28" s="18" t="str">
        <x:v>TC9</x:v>
      </x:c>
      <x:c r="B28" s="18" t="str">
        <x:v>TCO – Common</x:v>
      </x:c>
      <x:c r="C28" s="18" t="str">
        <x:v>Operator / Government</x:v>
      </x:c>
      <x:c r="D28" s="18" t="str">
        <x:v>Diesel maintenance cost per year?</x:v>
      </x:c>
      <x:c r="E28" s="18" t="str">
        <x:v>Numeric</x:v>
      </x:c>
      <x:c r="F28" s="18" t="str">
        <x:v>Rp million/year</x:v>
      </x:c>
      <x:c r="G28" s="18" t="str">
        <x:v>Operator / Government</x:v>
      </x:c>
      <x:c r="H28" s="18" t="str">
        <x:v>TCO</x:v>
      </x:c>
      <x:c r="I28" s="22" t="n">
        <x:v>40</x:v>
      </x:c>
      <x:c r="J28" s="18" t="str"/>
    </x:row>
    <x:row r="29">
      <x:c r="A29" s="18" t="str">
        <x:v>TC10</x:v>
      </x:c>
      <x:c r="B29" s="18" t="str">
        <x:v>TCO – Common</x:v>
      </x:c>
      <x:c r="C29" s="18" t="str">
        <x:v>Operator / Government</x:v>
      </x:c>
      <x:c r="D29" s="18" t="str">
        <x:v>Charging infrastructure CAPEX attributable to this case?</x:v>
      </x:c>
      <x:c r="E29" s="18" t="str">
        <x:v>Numeric</x:v>
      </x:c>
      <x:c r="F29" s="18" t="str">
        <x:v>Rp million</x:v>
      </x:c>
      <x:c r="G29" s="18" t="str">
        <x:v>Operator / Government</x:v>
      </x:c>
      <x:c r="H29" s="18" t="str">
        <x:v>TCO</x:v>
      </x:c>
      <x:c r="I29" s="22" t="n">
        <x:v>50</x:v>
      </x:c>
      <x:c r="J29" s="18" t="str"/>
    </x:row>
    <x:row r="30">
      <x:c r="A30" s="18" t="str">
        <x:v>TC11</x:v>
      </x:c>
      <x:c r="B30" s="18" t="str">
        <x:v>TCO – Common</x:v>
      </x:c>
      <x:c r="C30" s="18" t="str">
        <x:v>Operator / Government</x:v>
      </x:c>
      <x:c r="D30" s="18" t="str">
        <x:v>Battery replacement cost within economic horizon?</x:v>
      </x:c>
      <x:c r="E30" s="18" t="str">
        <x:v>Numeric</x:v>
      </x:c>
      <x:c r="F30" s="18" t="str">
        <x:v>Rp million</x:v>
      </x:c>
      <x:c r="G30" s="18" t="str">
        <x:v>Operator / Government</x:v>
      </x:c>
      <x:c r="H30" s="18" t="str">
        <x:v>TCO</x:v>
      </x:c>
      <x:c r="I30" s="22" t="n">
        <x:v>100</x:v>
      </x:c>
      <x:c r="J30" s="18" t="str"/>
    </x:row>
    <x:row r="31">
      <x:c r="A31" s="18" t="str">
        <x:v>TC12</x:v>
      </x:c>
      <x:c r="B31" s="18" t="str">
        <x:v>TCO – Common</x:v>
      </x:c>
      <x:c r="C31" s="18" t="str">
        <x:v>Operator / Government</x:v>
      </x:c>
      <x:c r="D31" s="18" t="str">
        <x:v>Expected residual value of EV?</x:v>
      </x:c>
      <x:c r="E31" s="18" t="str">
        <x:v>Numeric</x:v>
      </x:c>
      <x:c r="F31" s="18" t="str">
        <x:v>Rp million</x:v>
      </x:c>
      <x:c r="G31" s="18" t="str">
        <x:v>Operator / Government</x:v>
      </x:c>
      <x:c r="H31" s="18" t="str">
        <x:v>TCO</x:v>
      </x:c>
      <x:c r="I31" s="22" t="n">
        <x:v>0</x:v>
      </x:c>
      <x:c r="J31" s="18" t="str"/>
    </x:row>
    <x:row r="32">
      <x:c r="A32" s="18" t="str">
        <x:v>TC13</x:v>
      </x:c>
      <x:c r="B32" s="18" t="str">
        <x:v>TCO – Common</x:v>
      </x:c>
      <x:c r="C32" s="18" t="str">
        <x:v>Operator / Government</x:v>
      </x:c>
      <x:c r="D32" s="18" t="str">
        <x:v>Expected residual value of diesel?</x:v>
      </x:c>
      <x:c r="E32" s="18" t="str">
        <x:v>Numeric</x:v>
      </x:c>
      <x:c r="F32" s="18" t="str">
        <x:v>Rp million</x:v>
      </x:c>
      <x:c r="G32" s="18" t="str">
        <x:v>Operator / Government</x:v>
      </x:c>
      <x:c r="H32" s="18" t="str">
        <x:v>TCO</x:v>
      </x:c>
      <x:c r="I32" s="22" t="n">
        <x:v>60</x:v>
      </x:c>
      <x:c r="J32" s="18" t="str"/>
    </x:row>
    <x:row r="33">
      <x:c r="A33" s="18" t="str">
        <x:v>TC14</x:v>
      </x:c>
      <x:c r="B33" s="18" t="str">
        <x:v>TCO – Common</x:v>
      </x:c>
      <x:c r="C33" s="18" t="str">
        <x:v>Operator / Government</x:v>
      </x:c>
      <x:c r="D33" s="18" t="str">
        <x:v>EV purchase subsidy / capital support?</x:v>
      </x:c>
      <x:c r="E33" s="18" t="str">
        <x:v>Numeric</x:v>
      </x:c>
      <x:c r="F33" s="18" t="str">
        <x:v>Rp million/unit</x:v>
      </x:c>
      <x:c r="G33" s="18" t="str">
        <x:v>Operator / Government</x:v>
      </x:c>
      <x:c r="H33" s="18" t="str">
        <x:v>TCO</x:v>
      </x:c>
      <x:c r="I33" s="22" t="n">
        <x:v>100</x:v>
      </x:c>
      <x:c r="J33" s="18" t="str"/>
    </x:row>
    <x:row r="34">
      <x:c r="A34" s="18" t="str">
        <x:v>TC15</x:v>
      </x:c>
      <x:c r="B34" s="18" t="str">
        <x:v>TCO – Common</x:v>
      </x:c>
      <x:c r="C34" s="18" t="str">
        <x:v>Operator / Government</x:v>
      </x:c>
      <x:c r="D34" s="18" t="str">
        <x:v>Financing tenor?</x:v>
      </x:c>
      <x:c r="E34" s="18" t="str">
        <x:v>Single choice</x:v>
      </x:c>
      <x:c r="F34" s="18" t="str">
        <x:v>&lt;3 / 3–5 / 5–7 / &gt;7 years</x:v>
      </x:c>
      <x:c r="G34" s="18" t="str">
        <x:v>Operator / Government</x:v>
      </x:c>
      <x:c r="H34" s="18" t="str">
        <x:v>Matching</x:v>
      </x:c>
      <x:c r="I34" s="22" t="str"/>
      <x:c r="J34" s="18" t="str"/>
    </x:row>
    <x:row r="35">
      <x:c r="A35" s="18" t="str">
        <x:v>CC1</x:v>
      </x:c>
      <x:c r="B35" s="18" t="str">
        <x:v>Cold Chain Add-on</x:v>
      </x:c>
      <x:c r="C35" s="18" t="str">
        <x:v>Cold-chain operator</x:v>
      </x:c>
      <x:c r="D35" s="18" t="str">
        <x:v>Refrigeration / cold-chain equipment CAPEX attributable to EV case?</x:v>
      </x:c>
      <x:c r="E35" s="18" t="str">
        <x:v>Numeric</x:v>
      </x:c>
      <x:c r="F35" s="18" t="str">
        <x:v>Rp million</x:v>
      </x:c>
      <x:c r="G35" s="18" t="str">
        <x:v>Cold chain</x:v>
      </x:c>
      <x:c r="H35" s="18" t="str">
        <x:v>TCO</x:v>
      </x:c>
      <x:c r="I35" s="22" t="n">
        <x:v>50</x:v>
      </x:c>
      <x:c r="J35" s="18" t="str"/>
    </x:row>
    <x:row r="36">
      <x:c r="A36" s="18" t="str">
        <x:v>CC2</x:v>
      </x:c>
      <x:c r="B36" s="18" t="str">
        <x:v>Cold Chain Add-on</x:v>
      </x:c>
      <x:c r="C36" s="18" t="str">
        <x:v>Cold-chain operator</x:v>
      </x:c>
      <x:c r="D36" s="18" t="str">
        <x:v>Annual refrigeration energy cost?</x:v>
      </x:c>
      <x:c r="E36" s="18" t="str">
        <x:v>Numeric</x:v>
      </x:c>
      <x:c r="F36" s="18" t="str">
        <x:v>Rp million/year</x:v>
      </x:c>
      <x:c r="G36" s="18" t="str">
        <x:v>Cold chain</x:v>
      </x:c>
      <x:c r="H36" s="18" t="str">
        <x:v>TCO</x:v>
      </x:c>
      <x:c r="I36" s="22" t="n">
        <x:v>25</x:v>
      </x:c>
      <x:c r="J36" s="18" t="str"/>
    </x:row>
    <x:row r="37">
      <x:c r="A37" s="18" t="str">
        <x:v>CC3</x:v>
      </x:c>
      <x:c r="B37" s="18" t="str">
        <x:v>Cold Chain Add-on</x:v>
      </x:c>
      <x:c r="C37" s="18" t="str">
        <x:v>Cold-chain operator</x:v>
      </x:c>
      <x:c r="D37" s="18" t="str">
        <x:v>Annual downtime / spoilage risk cost from vehicle/service failure?</x:v>
      </x:c>
      <x:c r="E37" s="18" t="str">
        <x:v>Numeric</x:v>
      </x:c>
      <x:c r="F37" s="18" t="str">
        <x:v>Rp million/year</x:v>
      </x:c>
      <x:c r="G37" s="18" t="str">
        <x:v>Cold chain</x:v>
      </x:c>
      <x:c r="H37" s="18" t="str">
        <x:v>Sensitivity</x:v>
      </x:c>
      <x:c r="I37" s="22" t="n">
        <x:v>40</x:v>
      </x:c>
      <x:c r="J37" s="18" t="str"/>
    </x:row>
    <x:row r="38">
      <x:c r="A38" s="18" t="str">
        <x:v>GF1</x:v>
      </x:c>
      <x:c r="B38" s="18" t="str">
        <x:v>Government Fleet Add-on</x:v>
      </x:c>
      <x:c r="C38" s="18" t="str">
        <x:v>Government fleet</x:v>
      </x:c>
      <x:c r="D38" s="18" t="str">
        <x:v>Funding source for acquisition?</x:v>
      </x:c>
      <x:c r="E38" s="18" t="str">
        <x:v>Single choice</x:v>
      </x:c>
      <x:c r="F38" s="18" t="str">
        <x:v>APBD / APBN / grant / own-source revenue / mixed / other</x:v>
      </x:c>
      <x:c r="G38" s="18" t="str">
        <x:v>Government fleet</x:v>
      </x:c>
      <x:c r="H38" s="18" t="str">
        <x:v>Matching</x:v>
      </x:c>
      <x:c r="I38" s="22" t="str"/>
      <x:c r="J38" s="18" t="str"/>
    </x:row>
    <x:row r="39">
      <x:c r="A39" s="18" t="str">
        <x:v>GF2</x:v>
      </x:c>
      <x:c r="B39" s="18" t="str">
        <x:v>Government Fleet Add-on</x:v>
      </x:c>
      <x:c r="C39" s="18" t="str">
        <x:v>Government fleet</x:v>
      </x:c>
      <x:c r="D39" s="18" t="str">
        <x:v>Preferred procurement model?</x:v>
      </x:c>
      <x:c r="E39" s="18" t="str">
        <x:v>Single choice</x:v>
      </x:c>
      <x:c r="F39" s="18" t="str">
        <x:v>Ownership / lease / availability payment / service contract / other</x:v>
      </x:c>
      <x:c r="G39" s="18" t="str">
        <x:v>Government fleet</x:v>
      </x:c>
      <x:c r="H39" s="18" t="str">
        <x:v>Matching</x:v>
      </x:c>
      <x:c r="I39" s="22" t="str"/>
      <x:c r="J39" s="18" t="str"/>
    </x:row>
    <x:row r="40">
      <x:c r="A40" s="18" t="str">
        <x:v>GF3</x:v>
      </x:c>
      <x:c r="B40" s="18" t="str">
        <x:v>Government Fleet Add-on</x:v>
      </x:c>
      <x:c r="C40" s="18" t="str">
        <x:v>Government fleet</x:v>
      </x:c>
      <x:c r="D40" s="18" t="str">
        <x:v>Can charging infrastructure be funded separately from vehicles?</x:v>
      </x:c>
      <x:c r="E40" s="18" t="str">
        <x:v>Single choice</x:v>
      </x:c>
      <x:c r="F40" s="18" t="str">
        <x:v>Yes / No / Not sure</x:v>
      </x:c>
      <x:c r="G40" s="18" t="str">
        <x:v>Government fleet</x:v>
      </x:c>
      <x:c r="H40" s="18" t="str">
        <x:v>Matching</x:v>
      </x:c>
      <x:c r="I40" s="22" t="str"/>
      <x:c r="J40" s="18" t="str"/>
    </x:row>
    <x:row r="41">
      <x:c r="A41" s="18" t="str">
        <x:v>GF4</x:v>
      </x:c>
      <x:c r="B41" s="18" t="str">
        <x:v>Government Fleet Add-on</x:v>
      </x:c>
      <x:c r="C41" s="18" t="str">
        <x:v>Government fleet</x:v>
      </x:c>
      <x:c r="D41" s="18" t="str">
        <x:v>Would annual service/availability payment be easier to accommodate than vehicle CAPEX?</x:v>
      </x:c>
      <x:c r="E41" s="18" t="str">
        <x:v>1–5 Likert</x:v>
      </x:c>
      <x:c r="F41" s="18" t="str">
        <x:v>1 Not easier → 5 Much easier</x:v>
      </x:c>
      <x:c r="G41" s="18" t="str">
        <x:v>Government fleet</x:v>
      </x:c>
      <x:c r="H41" s="18" t="str">
        <x:v>Matching</x:v>
      </x:c>
      <x:c r="I41" s="22" t="n">
        <x:v>5</x:v>
      </x:c>
      <x:c r="J41" s="18" t="str"/>
    </x:row>
    <x:row r="42">
      <x:c r="A42" s="18" t="str">
        <x:v>SF1</x:v>
      </x:c>
      <x:c r="B42" s="18" t="str">
        <x:v>Sustainable Finance</x:v>
      </x:c>
      <x:c r="C42" s="18" t="str">
        <x:v>Operator / Government / Provider</x:v>
      </x:c>
      <x:c r="D42" s="18" t="str">
        <x:v>Seberapa penting green/sustainable finance bagi implementasi EV?</x:v>
      </x:c>
      <x:c r="E42" s="18" t="str">
        <x:v>1–5 Likert</x:v>
      </x:c>
      <x:c r="F42" s="18" t="str">
        <x:v>1 Not important → 5 Very important</x:v>
      </x:c>
      <x:c r="G42" s="18" t="str">
        <x:v>Relevant stakeholders</x:v>
      </x:c>
      <x:c r="H42" s="18" t="str">
        <x:v>Matching</x:v>
      </x:c>
      <x:c r="I42" s="22" t="n">
        <x:v>5</x:v>
      </x:c>
      <x:c r="J42" s="18" t="str"/>
    </x:row>
    <x:row r="43">
      <x:c r="A43" s="18" t="str">
        <x:v>SF2</x:v>
      </x:c>
      <x:c r="B43" s="18" t="str">
        <x:v>Sustainable Finance</x:v>
      </x:c>
      <x:c r="C43" s="18" t="str">
        <x:v>Operator / Government / Provider</x:v>
      </x:c>
      <x:c r="D43" s="18" t="str">
        <x:v>Apakah organisasi dapat memenuhi sustainability/reporting requirements?</x:v>
      </x:c>
      <x:c r="E43" s="18" t="str">
        <x:v>Single choice</x:v>
      </x:c>
      <x:c r="F43" s="18" t="str">
        <x:v>Yes / Maybe / No / Not sure</x:v>
      </x:c>
      <x:c r="G43" s="18" t="str">
        <x:v>Relevant stakeholders</x:v>
      </x:c>
      <x:c r="H43" s="18" t="str">
        <x:v>Matching</x:v>
      </x:c>
      <x:c r="I43" s="22" t="str"/>
      <x:c r="J43" s="18" t="str"/>
    </x:row>
    <x:row r="44">
      <x:c r="A44" s="18" t="str">
        <x:v>SF3</x:v>
      </x:c>
      <x:c r="B44" s="18" t="str">
        <x:v>Sustainable Finance</x:v>
      </x:c>
      <x:c r="C44" s="18" t="str">
        <x:v>Relevant stakeholders</x:v>
      </x:c>
      <x:c r="D44" s="18" t="str">
        <x:v>Instrumen green finance/support paling relevan?</x:v>
      </x:c>
      <x:c r="E44" s="18" t="str">
        <x:v>Multiple choice</x:v>
      </x:c>
      <x:c r="F44" s="18" t="str">
        <x:v>Green loan / green leasing / concessional / guarantee / VGF / charging support / electricity tariff / other</x:v>
      </x:c>
      <x:c r="G44" s="18" t="str">
        <x:v>Relevant stakeholders</x:v>
      </x:c>
      <x:c r="H44" s="18" t="str">
        <x:v>Matching</x:v>
      </x:c>
      <x:c r="I44" s="22" t="str"/>
      <x:c r="J44" s="18" t="str"/>
    </x:row>
    <x:row r="45">
      <x:c r="A45" s="18" t="str">
        <x:v>SF4</x:v>
      </x:c>
      <x:c r="B45" s="18" t="str">
        <x:v>Sustainable Finance</x:v>
      </x:c>
      <x:c r="C45" s="18" t="str">
        <x:v>All</x:v>
      </x:c>
      <x:c r="D45" s="18" t="str">
        <x:v>Hambatan utama sustainable finance?</x:v>
      </x:c>
      <x:c r="E45" s="18" t="str">
        <x:v>Single choice</x:v>
      </x:c>
      <x:c r="F45" s="18" t="str">
        <x:v>Collateral / pricing / tenor / ESG data / availability / awareness / procurement rule / other</x:v>
      </x:c>
      <x:c r="G45" s="18" t="str">
        <x:v>All</x:v>
      </x:c>
      <x:c r="H45" s="18" t="str">
        <x:v>Matching</x:v>
      </x:c>
      <x:c r="I45" s="22" t="str"/>
      <x:c r="J45" s="18" t="str"/>
    </x:row>
    <x:row r="46">
      <x:c r="A46" s="18" t="str">
        <x:v>SUP1</x:v>
      </x:c>
      <x:c r="B46" s="18" t="str">
        <x:v>Government Support</x:v>
      </x:c>
      <x:c r="C46" s="18" t="str">
        <x:v>All</x:v>
      </x:c>
      <x:c r="D46" s="18" t="str">
        <x:v>Dukungan publik apa yang paling dibutuhkan?</x:v>
      </x:c>
      <x:c r="E46" s="18" t="str">
        <x:v>Multiple choice</x:v>
      </x:c>
      <x:c r="F46" s="18" t="str">
        <x:v>Purchase subsidy / tax / interest support / guarantee / VGF / charging grant / electricity tariff / toll / road access / other</x:v>
      </x:c>
      <x:c r="G46" s="18" t="str">
        <x:v>All</x:v>
      </x:c>
      <x:c r="H46" s="18" t="str">
        <x:v>Matching</x:v>
      </x:c>
      <x:c r="I46" s="22" t="str"/>
      <x:c r="J46" s="18" t="str"/>
    </x:row>
    <x:row r="47">
      <x:c r="A47" s="18" t="str">
        <x:v>SUP2</x:v>
      </x:c>
      <x:c r="B47" s="18" t="str">
        <x:v>Government Support</x:v>
      </x:c>
      <x:c r="C47" s="18" t="str">
        <x:v>Regulator / Government</x:v>
      </x:c>
      <x:c r="D47" s="18" t="str">
        <x:v>Apakah dukungan tersebut tersedia pada area/use case ini?</x:v>
      </x:c>
      <x:c r="E47" s="18" t="str">
        <x:v>Single choice</x:v>
      </x:c>
      <x:c r="F47" s="18" t="str">
        <x:v>Yes / Partial / No / Not sure</x:v>
      </x:c>
      <x:c r="G47" s="18" t="str">
        <x:v>Regulator / Government</x:v>
      </x:c>
      <x:c r="H47" s="18" t="str">
        <x:v>Matching</x:v>
      </x:c>
      <x:c r="I47" s="22" t="str"/>
      <x:c r="J47" s="18" t="str"/>
    </x:row>
    <x:row r="48">
      <x:c r="A48" s="18" t="str">
        <x:v>SUP3</x:v>
      </x:c>
      <x:c r="B48" s="18" t="str">
        <x:v>Government Support</x:v>
      </x:c>
      <x:c r="C48" s="18" t="str">
        <x:v>Operator / Government</x:v>
      </x:c>
      <x:c r="D48" s="18" t="str">
        <x:v>Dukungan mana yang paling material terhadap kelayakan kasus?</x:v>
      </x:c>
      <x:c r="E48" s="18" t="str">
        <x:v>Single choice</x:v>
      </x:c>
      <x:c r="F48" s="18" t="str">
        <x:v>CAPEX support / operating cost support / charging support / risk guarantee / regulatory privilege / none</x:v>
      </x:c>
      <x:c r="G48" s="18" t="str">
        <x:v>Operator / Government</x:v>
      </x:c>
      <x:c r="H48" s="18" t="str">
        <x:v>Matching</x:v>
      </x:c>
      <x:c r="I48" s="22" t="str"/>
      <x:c r="J48" s="18" t="str"/>
    </x:row>
    <x:row r="49">
      <x:c r="A49" s="18" t="str">
        <x:v>SUP4</x:v>
      </x:c>
      <x:c r="B49" s="18" t="str">
        <x:v>Financing Supply</x:v>
      </x:c>
      <x:c r="C49" s="18" t="str">
        <x:v>Bank / Leasing / OEM / BaaS-FaaS / Provider</x:v>
      </x:c>
      <x:c r="D49" s="18" t="str">
        <x:v>Instrumen pembiayaan yang dapat ditawarkan?</x:v>
      </x:c>
      <x:c r="E49" s="18" t="str">
        <x:v>Multiple choice</x:v>
      </x:c>
      <x:c r="F49" s="18" t="str">
        <x:v>Loan / leasing / green finance / BaaS / FaaS-VaaS / guarantee / blended finance / other</x:v>
      </x:c>
      <x:c r="G49" s="18" t="str">
        <x:v>Provider</x:v>
      </x:c>
      <x:c r="H49" s="18" t="str">
        <x:v>Supply</x:v>
      </x:c>
      <x:c r="I49" s="22" t="str"/>
      <x:c r="J49" s="18" t="str"/>
    </x:row>
    <x:row r="50">
      <x:c r="A50" s="18" t="str">
        <x:v>SUP5</x:v>
      </x:c>
      <x:c r="B50" s="18" t="str">
        <x:v>Financing Supply</x:v>
      </x:c>
      <x:c r="C50" s="18" t="str">
        <x:v>Bank / Leasing / OEM / BaaS-FaaS / Provider</x:v>
      </x:c>
      <x:c r="D50" s="18" t="str">
        <x:v>Typical financing tenor available?</x:v>
      </x:c>
      <x:c r="E50" s="18" t="str">
        <x:v>Single choice</x:v>
      </x:c>
      <x:c r="F50" s="18" t="str">
        <x:v>&lt;3 / 3–5 / 5–7 / &gt;7 years</x:v>
      </x:c>
      <x:c r="G50" s="18" t="str">
        <x:v>Provider</x:v>
      </x:c>
      <x:c r="H50" s="18" t="str">
        <x:v>Supply</x:v>
      </x:c>
      <x:c r="I50" s="22" t="str"/>
      <x:c r="J50" s="18" t="str"/>
    </x:row>
    <x:row r="51">
      <x:c r="A51" s="18" t="str">
        <x:v>SUP6</x:v>
      </x:c>
      <x:c r="B51" s="18" t="str">
        <x:v>Financing Supply</x:v>
      </x:c>
      <x:c r="C51" s="18" t="str">
        <x:v>Bank / Leasing / OEM / BaaS-FaaS / Provider</x:v>
      </x:c>
      <x:c r="D51" s="18" t="str">
        <x:v>Risk elements willing to be taken/shared?</x:v>
      </x:c>
      <x:c r="E51" s="18" t="str">
        <x:v>Multiple choice</x:v>
      </x:c>
      <x:c r="F51" s="18" t="str">
        <x:v>Vehicle / battery / residual / maintenance / uptime-performance / charging / none</x:v>
      </x:c>
      <x:c r="G51" s="18" t="str">
        <x:v>Provider</x:v>
      </x:c>
      <x:c r="H51" s="18" t="str">
        <x:v>Supply</x:v>
      </x:c>
      <x:c r="I51" s="22" t="str"/>
      <x:c r="J51" s="18" t="str"/>
    </x:row>
    <x:row r="52">
      <x:c r="A52" s="18"/>
      <x:c r="B52" s="18"/>
      <x:c r="C52" s="18"/>
      <x:c r="D52" s="18"/>
      <x:c r="E52" s="18"/>
      <x:c r="F52" s="18"/>
      <x:c r="G52" s="18"/>
      <x:c r="H52" s="18"/>
      <x:c r="I52" s="22" t="str"/>
      <x:c r="J52" s="18" t="str"/>
    </x:row>
    <x:row r="53">
      <x:c r="A53" s="18"/>
      <x:c r="B53" s="18"/>
      <x:c r="C53" s="18"/>
      <x:c r="D53" s="18"/>
      <x:c r="E53" s="18"/>
      <x:c r="F53" s="18"/>
      <x:c r="G53" s="18"/>
      <x:c r="H53" s="18"/>
      <x:c r="I53" s="22" t="str"/>
      <x:c r="J53" s="18" t="str"/>
    </x:row>
    <x:row r="55">
      <x:c r="A55" s="9" t="str">
        <x:v>Platform note</x:v>
      </x:c>
      <x:c r="B55" s="9" t="str"/>
      <x:c r="C55" s="9" t="str"/>
      <x:c r="D55" s="9" t="str"/>
      <x:c r="E55" s="9" t="str"/>
      <x:c r="F55" s="9" t="str"/>
      <x:c r="G55" s="9" t="str"/>
      <x:c r="H55" s="9" t="str"/>
      <x:c r="I55" s="9" t="str"/>
      <x:c r="J55" s="9" t="str"/>
    </x:row>
    <x:row r="56">
      <x:c r="A56" s="18" t="str">
        <x:v>When Bu Andani and Pak Tilaka results already exist, do not re-ask them here. Pull Consumer Readiness and City CRI into the CRI Context sheet. This questionnaire collects the additional financing, risk, TCO, support and provider information needed for the Financing Playbook.</x:v>
      </x:c>
      <x:c r="B56" s="18" t="str"/>
      <x:c r="C56" s="18" t="str"/>
      <x:c r="D56" s="18" t="str"/>
      <x:c r="E56" s="18" t="str"/>
      <x:c r="F56" s="18" t="str"/>
      <x:c r="G56" s="18" t="str"/>
      <x:c r="H56" s="18" t="str"/>
      <x:c r="I56" s="18" t="str"/>
      <x:c r="J56" s="18"/>
    </x:row>
    <x:row r="58">
      <x:c r="A58" s="39" t="str">
        <x:v>OPEN DATA / PRE-POPULATED PLATFORM INPUTS</x:v>
      </x:c>
      <x:c r="B58" s="39" t="str"/>
      <x:c r="C58" s="39" t="str"/>
      <x:c r="D58" s="39" t="str"/>
      <x:c r="E58" s="39" t="str"/>
      <x:c r="F58" s="39" t="str"/>
      <x:c r="G58" s="39" t="str"/>
      <x:c r="H58" s="39" t="str"/>
      <x:c r="I58" s="39" t="str"/>
      <x:c r="J58" s="39" t="str"/>
    </x:row>
    <x:row r="59">
      <x:c r="A59" s="40" t="str">
        <x:v>ID</x:v>
      </x:c>
      <x:c r="B59" s="40" t="str">
        <x:v>Data item</x:v>
      </x:c>
      <x:c r="C59" s="40" t="str">
        <x:v>Level</x:v>
      </x:c>
      <x:c r="D59" s="40" t="str">
        <x:v>Suggested source</x:v>
      </x:c>
      <x:c r="E59" s="40" t="str">
        <x:v>Use in platform</x:v>
      </x:c>
      <x:c r="F59" s="40" t="str">
        <x:v>Asked to respondent?</x:v>
      </x:c>
      <x:c r="G59" s="40" t="str">
        <x:v>Refresh</x:v>
      </x:c>
      <x:c r="H59" s="40" t="str">
        <x:v>Input / link</x:v>
      </x:c>
      <x:c r="I59" s="40" t="str">
        <x:v>Validation</x:v>
      </x:c>
      <x:c r="J59" s="40" t="str">
        <x:v>Notes</x:v>
      </x:c>
    </x:row>
    <x:row r="60">
      <x:c r="A60" s="18" t="str">
        <x:v>OD1</x:v>
      </x:c>
      <x:c r="B60" s="18" t="str">
        <x:v>Consumer Readiness score</x:v>
      </x:c>
      <x:c r="C60" s="18" t="str">
        <x:v>City / segment</x:v>
      </x:c>
      <x:c r="D60" s="18" t="str">
        <x:v>Existing Bu Andani SCE output</x:v>
      </x:c>
      <x:c r="E60" s="18" t="str">
        <x:v>CRI context + Scheme Matching</x:v>
      </x:c>
      <x:c r="F60" s="18" t="str">
        <x:v>No</x:v>
      </x:c>
      <x:c r="G60" s="18" t="str">
        <x:v>Periodic</x:v>
      </x:c>
      <x:c r="H60" s="18" t="str"/>
      <x:c r="I60" s="18" t="str">
        <x:v>Use approved output</x:v>
      </x:c>
      <x:c r="J60" s="18" t="str">
        <x:v>Do not re-ask if already available</x:v>
      </x:c>
    </x:row>
    <x:row r="61">
      <x:c r="A61" s="18" t="str">
        <x:v>OD2</x:v>
      </x:c>
      <x:c r="B61" s="18" t="str">
        <x:v>City CRI total</x:v>
      </x:c>
      <x:c r="C61" s="18" t="str">
        <x:v>City</x:v>
      </x:c>
      <x:c r="D61" s="18" t="str">
        <x:v>Existing Pak Tilaka readiness engine</x:v>
      </x:c>
      <x:c r="E61" s="18" t="str">
        <x:v>Market/ecosystem context</x:v>
      </x:c>
      <x:c r="F61" s="18" t="str">
        <x:v>No</x:v>
      </x:c>
      <x:c r="G61" s="18" t="str">
        <x:v>Periodic</x:v>
      </x:c>
      <x:c r="H61" s="18" t="str"/>
      <x:c r="I61" s="18" t="str">
        <x:v>Use approved city database</x:v>
      </x:c>
      <x:c r="J61" s="18" t="str"/>
    </x:row>
    <x:row r="62">
      <x:c r="A62" s="18" t="str">
        <x:v>OD3</x:v>
      </x:c>
      <x:c r="B62" s="18" t="str">
        <x:v>Economic Scale / logistics-related economic indicator</x:v>
      </x:c>
      <x:c r="C62" s="18" t="str">
        <x:v>City/province</x:v>
      </x:c>
      <x:c r="D62" s="18" t="str">
        <x:v>BPS</x:v>
      </x:c>
      <x:c r="E62" s="18" t="str">
        <x:v>CRI / economic context</x:v>
      </x:c>
      <x:c r="F62" s="18" t="str">
        <x:v>No</x:v>
      </x:c>
      <x:c r="G62" s="18" t="str">
        <x:v>Annual</x:v>
      </x:c>
      <x:c r="H62" s="18" t="str"/>
      <x:c r="I62" s="18" t="str">
        <x:v>Use approved statistical series</x:v>
      </x:c>
      <x:c r="J62" s="18" t="str"/>
    </x:row>
    <x:row r="63">
      <x:c r="A63" s="18" t="str">
        <x:v>OD4</x:v>
      </x:c>
      <x:c r="B63" s="18" t="str">
        <x:v>Heavy freight vehicle stock</x:v>
      </x:c>
      <x:c r="C63" s="18" t="str">
        <x:v>Province/city where available</x:v>
      </x:c>
      <x:c r="D63" s="18" t="str">
        <x:v>BPS</x:v>
      </x:c>
      <x:c r="E63" s="18" t="str">
        <x:v>CRI / market scale</x:v>
      </x:c>
      <x:c r="F63" s="18" t="str">
        <x:v>No</x:v>
      </x:c>
      <x:c r="G63" s="18" t="str">
        <x:v>Annual</x:v>
      </x:c>
      <x:c r="H63" s="18" t="str"/>
      <x:c r="I63" s="18" t="str">
        <x:v>Match vehicle category consistently</x:v>
      </x:c>
      <x:c r="J63" s="18" t="str"/>
    </x:row>
    <x:row r="64">
      <x:c r="A64" s="18" t="str">
        <x:v>OD5</x:v>
      </x:c>
      <x:c r="B64" s="18" t="str">
        <x:v>Public charging infrastructure</x:v>
      </x:c>
      <x:c r="C64" s="18" t="str">
        <x:v>City/province</x:v>
      </x:c>
      <x:c r="D64" s="18" t="str">
        <x:v>PLN / ESDM</x:v>
      </x:c>
      <x:c r="E64" s="18" t="str">
        <x:v>CRI + TCO charging context</x:v>
      </x:c>
      <x:c r="F64" s="18" t="str">
        <x:v>No</x:v>
      </x:c>
      <x:c r="G64" s="18" t="str">
        <x:v>Periodic</x:v>
      </x:c>
      <x:c r="H64" s="18" t="str"/>
      <x:c r="I64" s="18" t="str">
        <x:v>Use approved infrastructure inventory</x:v>
      </x:c>
      <x:c r="J64" s="18" t="str"/>
    </x:row>
    <x:row r="65">
      <x:c r="A65" s="18" t="str">
        <x:v>OD6</x:v>
      </x:c>
      <x:c r="B65" s="18" t="str">
        <x:v>Fast / ultra-fast charger availability</x:v>
      </x:c>
      <x:c r="C65" s="18" t="str">
        <x:v>City/province</x:v>
      </x:c>
      <x:c r="D65" s="18" t="str">
        <x:v>PLN / ESDM</x:v>
      </x:c>
      <x:c r="E65" s="18" t="str">
        <x:v>Infrastructure readiness</x:v>
      </x:c>
      <x:c r="F65" s="18" t="str">
        <x:v>No</x:v>
      </x:c>
      <x:c r="G65" s="18" t="str">
        <x:v>Periodic</x:v>
      </x:c>
      <x:c r="H65" s="18" t="str"/>
      <x:c r="I65" s="18" t="str">
        <x:v>Track charging power class</x:v>
      </x:c>
      <x:c r="J65" s="18" t="str"/>
    </x:row>
    <x:row r="66">
      <x:c r="A66" s="18" t="str">
        <x:v>OD7</x:v>
      </x:c>
      <x:c r="B66" s="18" t="str">
        <x:v>Electricity tariff</x:v>
      </x:c>
      <x:c r="C66" s="18" t="str">
        <x:v>Location / customer class</x:v>
      </x:c>
      <x:c r="D66" s="18" t="str">
        <x:v>PLN / ESDM</x:v>
      </x:c>
      <x:c r="E66" s="18" t="str">
        <x:v>TCO energy cost</x:v>
      </x:c>
      <x:c r="F66" s="18" t="str">
        <x:v>No</x:v>
      </x:c>
      <x:c r="G66" s="18" t="str">
        <x:v>Quarterly / as published</x:v>
      </x:c>
      <x:c r="H66" s="18" t="str"/>
      <x:c r="I66" s="18" t="str">
        <x:v>Match customer class</x:v>
      </x:c>
      <x:c r="J66" s="18" t="str"/>
    </x:row>
    <x:row r="67">
      <x:c r="A67" s="18" t="str">
        <x:v>OD8</x:v>
      </x:c>
      <x:c r="B67" s="18" t="str">
        <x:v>Diesel / fuel price</x:v>
      </x:c>
      <x:c r="C67" s="18" t="str">
        <x:v>Location / fuel type</x:v>
      </x:c>
      <x:c r="D67" s="18" t="str">
        <x:v>Pertamina / official fuel-price source</x:v>
      </x:c>
      <x:c r="E67" s="18" t="str">
        <x:v>TCO fuel cost</x:v>
      </x:c>
      <x:c r="F67" s="18" t="str">
        <x:v>No</x:v>
      </x:c>
      <x:c r="G67" s="18" t="str">
        <x:v>Monthly / as published</x:v>
      </x:c>
      <x:c r="H67" s="18" t="str"/>
      <x:c r="I67" s="18" t="str">
        <x:v>Match fuel type used by comparable vehicle</x:v>
      </x:c>
      <x:c r="J67" s="18" t="str"/>
    </x:row>
    <x:row r="68">
      <x:c r="A68" s="18" t="str">
        <x:v>OD9</x:v>
      </x:c>
      <x:c r="B68" s="18" t="str">
        <x:v>EV vehicle price benchmark</x:v>
      </x:c>
      <x:c r="C68" s="18" t="str">
        <x:v>Vehicle / model</x:v>
      </x:c>
      <x:c r="D68" s="18" t="str">
        <x:v>OEM / dealer / market source</x:v>
      </x:c>
      <x:c r="E68" s="18" t="str">
        <x:v>TCO CAPEX</x:v>
      </x:c>
      <x:c r="F68" s="18" t="str">
        <x:v>No</x:v>
      </x:c>
      <x:c r="G68" s="18" t="str">
        <x:v>Periodic</x:v>
      </x:c>
      <x:c r="H68" s="18" t="str"/>
      <x:c r="I68" s="18" t="str">
        <x:v>Use quotation where available</x:v>
      </x:c>
      <x:c r="J68" s="18" t="str"/>
    </x:row>
    <x:row r="69">
      <x:c r="A69" s="18" t="str">
        <x:v>OD10</x:v>
      </x:c>
      <x:c r="B69" s="18" t="str">
        <x:v>Diesel vehicle price benchmark</x:v>
      </x:c>
      <x:c r="C69" s="18" t="str">
        <x:v>Vehicle / model</x:v>
      </x:c>
      <x:c r="D69" s="18" t="str">
        <x:v>OEM / dealer / market source</x:v>
      </x:c>
      <x:c r="E69" s="18" t="str">
        <x:v>TCO baseline</x:v>
      </x:c>
      <x:c r="F69" s="18" t="str">
        <x:v>No</x:v>
      </x:c>
      <x:c r="G69" s="18" t="str">
        <x:v>Periodic</x:v>
      </x:c>
      <x:c r="H69" s="18" t="str"/>
      <x:c r="I69" s="18" t="str">
        <x:v>Comparable specification required</x:v>
      </x:c>
      <x:c r="J69" s="18" t="str"/>
    </x:row>
    <x:row r="70">
      <x:c r="A70" s="18" t="str">
        <x:v>OD11</x:v>
      </x:c>
      <x:c r="B70" s="18" t="str">
        <x:v>Vehicle specification</x:v>
      </x:c>
      <x:c r="C70" s="18" t="str">
        <x:v>Vehicle / model</x:v>
      </x:c>
      <x:c r="D70" s="18" t="str">
        <x:v>OEM</x:v>
      </x:c>
      <x:c r="E70" s="18" t="str">
        <x:v>TCO + operating fit</x:v>
      </x:c>
      <x:c r="F70" s="18" t="str">
        <x:v>No</x:v>
      </x:c>
      <x:c r="G70" s="18" t="str">
        <x:v>Periodic</x:v>
      </x:c>
      <x:c r="H70" s="18" t="str"/>
      <x:c r="I70" s="18" t="str">
        <x:v>Battery, range, GVW, etc.</x:v>
      </x:c>
      <x:c r="J70" s="18" t="str"/>
    </x:row>
    <x:row r="71">
      <x:c r="A71" s="18" t="str">
        <x:v>OD12</x:v>
      </x:c>
      <x:c r="B71" s="18" t="str">
        <x:v>Policy / fiscal / road-access support</x:v>
      </x:c>
      <x:c r="C71" s="18" t="str">
        <x:v>City / province / national</x:v>
      </x:c>
      <x:c r="D71" s="18" t="str">
        <x:v>Regulations / ministry / local government</x:v>
      </x:c>
      <x:c r="E71" s="18" t="str">
        <x:v>CRI + Scheme Matching</x:v>
      </x:c>
      <x:c r="F71" s="18" t="str">
        <x:v>No</x:v>
      </x:c>
      <x:c r="G71" s="18" t="str">
        <x:v>As regulation changes</x:v>
      </x:c>
      <x:c r="H71" s="18" t="str"/>
      <x:c r="I71" s="18" t="str">
        <x:v>Verify current status</x:v>
      </x:c>
      <x:c r="J71" s="18" t="str"/>
    </x:row>
    <x:row r="72">
      <x:c r="A72" s="18" t="str">
        <x:v>OD13</x:v>
      </x:c>
      <x:c r="B72" s="18" t="str">
        <x:v>Sustainable-finance taxonomy / eligibility</x:v>
      </x:c>
      <x:c r="C72" s="18" t="str">
        <x:v>National / sector</x:v>
      </x:c>
      <x:c r="D72" s="18" t="str">
        <x:v>OJK / applicable taxonomy</x:v>
      </x:c>
      <x:c r="E72" s="18" t="str">
        <x:v>Scheme Matching</x:v>
      </x:c>
      <x:c r="F72" s="18" t="str">
        <x:v>No</x:v>
      </x:c>
      <x:c r="G72" s="18" t="str">
        <x:v>As updated</x:v>
      </x:c>
      <x:c r="H72" s="18" t="str"/>
      <x:c r="I72" s="18" t="str">
        <x:v>Use latest approved taxonomy</x:v>
      </x:c>
      <x:c r="J72" s="18" t="str"/>
    </x:row>
    <x:row r="73">
      <x:c r="A73" t="str">
        <x:v>OD14</x:v>
      </x:c>
      <x:c r="B73" t="str">
        <x:v>Public financing-product availability</x:v>
      </x:c>
      <x:c r="C73" t="str">
        <x:v>Provider / instrument</x:v>
      </x:c>
      <x:c r="D73" t="str">
        <x:v>Bank / leasing / provider public information</x:v>
      </x:c>
      <x:c r="E73" t="str">
        <x:v>Financing Supply</x:v>
      </x:c>
      <x:c r="F73" t="str">
        <x:v>No</x:v>
      </x:c>
      <x:c r="G73" t="str">
        <x:v>Periodic</x:v>
      </x:c>
      <x:c r="H73" t="str"/>
      <x:c r="I73" t="str">
        <x:v>Quotation preferred for transaction terms</x:v>
      </x:c>
      <x:c r="J73" t="str"/>
    </x:row>
    <x:row r="74">
      <x:c r="A74" s="40" t="str">
        <x:v>DATA COLLECTION RULE</x:v>
      </x:c>
      <x:c r="B74" s="40" t="str"/>
      <x:c r="C74" s="40" t="str"/>
      <x:c r="D74" s="40" t="str"/>
      <x:c r="E74" s="40" t="str"/>
      <x:c r="F74" s="40" t="str"/>
      <x:c r="G74" s="40" t="str"/>
      <x:c r="H74" s="40" t="str"/>
      <x:c r="I74" s="40" t="str"/>
      <x:c r="J74" s="40" t="str"/>
    </x:row>
    <x:row r="75">
      <x:c r="A75" s="18" t="str">
        <x:v>Rule</x:v>
      </x:c>
      <x:c r="B75" s="18" t="str">
        <x:v>Use open/public data first. Ask stakeholders only for information that is project-specific, proprietary, preference-based, or not reliably available in public sources.</x:v>
      </x:c>
      <x:c r="C75" s="18" t="str"/>
      <x:c r="D75" s="18" t="str"/>
      <x:c r="E75" s="18" t="str"/>
      <x:c r="F75" s="18" t="str"/>
      <x:c r="G75" s="18" t="str"/>
      <x:c r="H75" s="18" t="str"/>
      <x:c r="I75" s="18" t="str"/>
      <x:c r="J75" s="18" t="str"/>
    </x:row>
    <x:row r="76">
      <x:c r="A76" s="18" t="str">
        <x:v>Existing CRI</x:v>
      </x:c>
      <x:c r="B76" s="18" t="str">
        <x:v>Bu Andani Consumer Readiness and Pak Tilaka City CRI are treated as pre-loaded context when already available.</x:v>
      </x:c>
      <x:c r="C76" s="18" t="str"/>
      <x:c r="D76" s="18" t="str"/>
      <x:c r="E76" s="18" t="str"/>
      <x:c r="F76" s="18" t="str"/>
      <x:c r="G76" s="18" t="str"/>
      <x:c r="H76" s="18" t="str"/>
      <x:c r="I76" s="18" t="str"/>
      <x:c r="J76" s="18" t="str"/>
    </x:row>
    <x:row r="77">
      <x:c r="A77" s="18" t="str">
        <x:v>TCO</x:v>
      </x:c>
      <x:c r="B77" s="18" t="str">
        <x:v>Use public benchmarks for fuel, electricity, vehicle specifications and market prices where possible; collect actual project inputs only when needed to improve precision.</x:v>
      </x:c>
      <x:c r="C77" s="18" t="str"/>
      <x:c r="D77" s="18" t="str"/>
      <x:c r="E77" s="18" t="str"/>
      <x:c r="F77" s="18" t="str"/>
      <x:c r="G77" s="18" t="str"/>
      <x:c r="H77" s="18" t="str"/>
      <x:c r="I77" s="18" t="str"/>
      <x:c r="J77" s="18" t="str"/>
    </x:row>
    <x:row r="78">
      <x:c r="A78" s="18" t="str">
        <x:v>Financing Profile</x:v>
      </x:c>
      <x:c r="B78" s="18" t="str">
        <x:v>Financing Need and Risk Profile remain respondent-specific and are therefore collected directly.</x:v>
      </x:c>
      <x:c r="C78" s="18" t="str"/>
      <x:c r="D78" s="18" t="str"/>
      <x:c r="E78" s="18" t="str"/>
      <x:c r="F78" s="18" t="str"/>
      <x:c r="G78" s="18" t="str"/>
      <x:c r="H78" s="18" t="str"/>
      <x:c r="I78" s="18" t="str"/>
      <x:c r="J78" s="18" t="str"/>
    </x:row>
    <x:row r="79">
      <x:c r="A79" s="18" t="str">
        <x:v>Provider Supply</x:v>
      </x:c>
      <x:c r="B79" s="18" t="str">
        <x:v>Use public financing-product information for initial mapping; validate actual tenor, collateral and risk appetite with providers.</x:v>
      </x:c>
      <x:c r="C79" s="18" t="str"/>
      <x:c r="D79" s="18" t="str"/>
      <x:c r="E79" s="18" t="str"/>
      <x:c r="F79" s="18" t="str"/>
      <x:c r="G79" s="18" t="str"/>
      <x:c r="H79" s="18" t="str"/>
      <x:c r="I79" s="18" t="str"/>
      <x:c r="J79" s="18" t="str"/>
    </x:row>
  </x:sheetData>
  <x:mergeCells>
    <x:mergeCell ref="A1:J1"/>
    <x:mergeCell ref="A55:J55"/>
    <x:mergeCell ref="A56:J56"/>
    <x:mergeCell ref="A58:J58"/>
    <x:mergeCell ref="A74:J74"/>
    <x:mergeCell ref="B75:J75"/>
    <x:mergeCell ref="B76:J76"/>
    <x:mergeCell ref="B77:J77"/>
    <x:mergeCell ref="B78:J78"/>
    <x:mergeCell ref="B79:J79"/>
  </x:mergeCells>
  <x:dataValidations count="12">
    <x:dataValidation type="whole" sqref="I10">
      <x:formula1>1</x:formula1>
      <x:formula2>5</x:formula2>
    </x:dataValidation>
    <x:dataValidation type="whole" sqref="I11">
      <x:formula1>1</x:formula1>
      <x:formula2>5</x:formula2>
    </x:dataValidation>
    <x:dataValidation type="whole" sqref="I12">
      <x:formula1>1</x:formula1>
      <x:formula2>5</x:formula2>
    </x:dataValidation>
    <x:dataValidation type="whole" sqref="I13">
      <x:formula1>1</x:formula1>
      <x:formula2>5</x:formula2>
    </x:dataValidation>
    <x:dataValidation type="whole" sqref="I14">
      <x:formula1>1</x:formula1>
      <x:formula2>5</x:formula2>
    </x:dataValidation>
    <x:dataValidation type="whole" sqref="I15">
      <x:formula1>1</x:formula1>
      <x:formula2>5</x:formula2>
    </x:dataValidation>
    <x:dataValidation type="whole" sqref="I16">
      <x:formula1>1</x:formula1>
      <x:formula2>5</x:formula2>
    </x:dataValidation>
    <x:dataValidation type="whole" sqref="I17">
      <x:formula1>1</x:formula1>
      <x:formula2>5</x:formula2>
    </x:dataValidation>
    <x:dataValidation type="whole" sqref="I18">
      <x:formula1>1</x:formula1>
      <x:formula2>5</x:formula2>
    </x:dataValidation>
    <x:dataValidation type="whole" sqref="I19">
      <x:formula1>1</x:formula1>
      <x:formula2>5</x:formula2>
    </x:dataValidation>
    <x:dataValidation type="whole" sqref="I41">
      <x:formula1>1</x:formula1>
      <x:formula2>5</x:formula2>
    </x:dataValidation>
    <x:dataValidation type="whole" sqref="I42">
      <x:formula1>1</x:formula1>
      <x:formula2>5</x:formula2>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2" hidden="0" customWidth="1"/>
    <x:col min="3" max="3" width="18" hidden="0" customWidth="1"/>
    <x:col min="4" max="4" width="18" hidden="0" customWidth="1"/>
    <x:col min="5" max="5" width="20" hidden="0" customWidth="1"/>
    <x:col min="6" max="6" width="16" hidden="0" customWidth="1"/>
    <x:col min="7" max="7" width="14" hidden="0" customWidth="1"/>
    <x:col min="8" max="8" width="16" hidden="0" customWidth="1"/>
    <x:col min="9" max="9" width="24" hidden="0" customWidth="1"/>
    <x:col min="10" max="10" width="26" hidden="0" customWidth="1"/>
    <x:col min="11" max="11" width="46" hidden="0" customWidth="1"/>
  </x:cols>
  <x:sheetData>
    <x:row r="1">
      <x:c r="A1" s="4" t="str">
        <x:v>CRI CONTEXT – EXISTING BU ANDANI + PAK TILAKA RESULTS</x:v>
      </x:c>
    </x:row>
    <x:row r="3">
      <x:c r="A3" s="12" t="str">
        <x:v>City</x:v>
      </x:c>
      <x:c r="B3" s="12" t="str">
        <x:v>Consumer Readiness</x:v>
      </x:c>
      <x:c r="C3" s="12" t="str">
        <x:v>Economic Scale</x:v>
      </x:c>
      <x:c r="D3" s="12" t="str">
        <x:v>Infrastructure</x:v>
      </x:c>
      <x:c r="E3" s="12" t="str">
        <x:v>Policy &amp; Support</x:v>
      </x:c>
      <x:c r="F3" s="12" t="str">
        <x:v>Aftersales</x:v>
      </x:c>
      <x:c r="G3" s="12" t="str">
        <x:v>CRI Total</x:v>
      </x:c>
      <x:c r="H3" s="12" t="str">
        <x:v>CRI Category</x:v>
      </x:c>
      <x:c r="I3" s="12" t="str">
        <x:v>Consumer Source</x:v>
      </x:c>
      <x:c r="J3" s="12" t="str">
        <x:v>Ecosystem Source</x:v>
      </x:c>
      <x:c r="K3" s="12" t="str">
        <x:v>Notes</x:v>
      </x:c>
    </x:row>
    <x:row r="4">
      <x:c r="A4" s="18" t="str">
        <x:v>Jakarta</x:v>
      </x:c>
      <x:c r="B4" s="18" t="n">
        <x:v>57</x:v>
      </x:c>
      <x:c r="C4" s="18" t="n">
        <x:v>38.3</x:v>
      </x:c>
      <x:c r="D4" s="18" t="n">
        <x:v>37.1</x:v>
      </x:c>
      <x:c r="E4" s="18" t="n">
        <x:v>42.9</x:v>
      </x:c>
      <x:c r="F4" s="18" t="n">
        <x:v>26.7</x:v>
      </x:c>
      <x:c r="G4" s="18" t="n">
        <x:f>AVERAGE(B4:F4)</x:f>
        <x:v>40.4</x:v>
      </x:c>
      <x:c r="H4" s="18" t="str">
        <x:f>IF(G4&lt;40,"NASCENT",IF(G4&lt;70,"DEVELOPING","MATURE"))</x:f>
        <x:v>DEVELOPING</x:v>
      </x:c>
      <x:c r="I4" s="18" t="str">
        <x:v>Bu Andani</x:v>
      </x:c>
      <x:c r="J4" s="18" t="str">
        <x:v>Pak Tilaka</x:v>
      </x:c>
      <x:c r="K4" s="18" t="str">
        <x:v>Illustrative existing values; replace with approved database</x:v>
      </x:c>
    </x:row>
    <x:row r="5">
      <x:c r="A5" s="18" t="str">
        <x:v>Bandung</x:v>
      </x:c>
      <x:c r="B5" s="18" t="n">
        <x:v>60</x:v>
      </x:c>
      <x:c r="C5" s="18" t="n">
        <x:v>50</x:v>
      </x:c>
      <x:c r="D5" s="18" t="n">
        <x:v>45</x:v>
      </x:c>
      <x:c r="E5" s="18" t="n">
        <x:v>50</x:v>
      </x:c>
      <x:c r="F5" s="18" t="n">
        <x:v>35</x:v>
      </x:c>
      <x:c r="G5" s="18" t="n">
        <x:f>AVERAGE(B5:F5)</x:f>
        <x:v>48</x:v>
      </x:c>
      <x:c r="H5" s="18" t="str">
        <x:f>IF(G5&lt;40,"NASCENT",IF(G5&lt;70,"DEVELOPING","MATURE"))</x:f>
        <x:v>DEVELOPING</x:v>
      </x:c>
      <x:c r="I5" s="18" t="str">
        <x:v>Existing</x:v>
      </x:c>
      <x:c r="J5" s="18" t="str">
        <x:v>Existing</x:v>
      </x:c>
      <x:c r="K5" s="18" t="str">
        <x:v>Replace with approved database</x:v>
      </x:c>
    </x:row>
    <x:row r="6">
      <x:c r="A6" s="18" t="str">
        <x:v>Surabaya</x:v>
      </x:c>
      <x:c r="B6" s="18" t="n">
        <x:v>60</x:v>
      </x:c>
      <x:c r="C6" s="18" t="n">
        <x:v>45</x:v>
      </x:c>
      <x:c r="D6" s="18" t="n">
        <x:v>44</x:v>
      </x:c>
      <x:c r="E6" s="18" t="n">
        <x:v>48</x:v>
      </x:c>
      <x:c r="F6" s="18" t="n">
        <x:v>38</x:v>
      </x:c>
      <x:c r="G6" s="18" t="n">
        <x:f>AVERAGE(B6:F6)</x:f>
        <x:v>47</x:v>
      </x:c>
      <x:c r="H6" s="18" t="str">
        <x:f>IF(G6&lt;40,"NASCENT",IF(G6&lt;70,"DEVELOPING","MATURE"))</x:f>
        <x:v>DEVELOPING</x:v>
      </x:c>
      <x:c r="I6" s="18" t="str">
        <x:v>Existing</x:v>
      </x:c>
      <x:c r="J6" s="18" t="str">
        <x:v>Existing</x:v>
      </x:c>
      <x:c r="K6" s="18" t="str">
        <x:v>Replace with approved database</x:v>
      </x:c>
    </x:row>
    <x:row r="7">
      <x:c r="A7" s="18" t="str">
        <x:v>Semarang</x:v>
      </x:c>
      <x:c r="B7" s="18" t="n">
        <x:v>57</x:v>
      </x:c>
      <x:c r="C7" s="18" t="n">
        <x:v>35</x:v>
      </x:c>
      <x:c r="D7" s="18" t="n">
        <x:v>31</x:v>
      </x:c>
      <x:c r="E7" s="18" t="n">
        <x:v>40</x:v>
      </x:c>
      <x:c r="F7" s="18" t="n">
        <x:v>30</x:v>
      </x:c>
      <x:c r="G7" s="18" t="n">
        <x:f>AVERAGE(B7:F7)</x:f>
        <x:v>38.6</x:v>
      </x:c>
      <x:c r="H7" s="18" t="str">
        <x:f>IF(G7&lt;40,"NASCENT",IF(G7&lt;70,"DEVELOPING","MATURE"))</x:f>
        <x:v>NASCENT</x:v>
      </x:c>
      <x:c r="I7" s="18" t="str">
        <x:v>Existing</x:v>
      </x:c>
      <x:c r="J7" s="18" t="str">
        <x:v>Existing</x:v>
      </x:c>
      <x:c r="K7" s="18" t="str">
        <x:v>Replace with approved database</x:v>
      </x:c>
    </x:row>
    <x:row r="8">
      <x:c r="A8" s="18" t="str">
        <x:v>Medan</x:v>
      </x:c>
      <x:c r="B8" s="18" t="n">
        <x:v>55</x:v>
      </x:c>
      <x:c r="C8" s="18" t="n">
        <x:v>30</x:v>
      </x:c>
      <x:c r="D8" s="18" t="n">
        <x:v>28</x:v>
      </x:c>
      <x:c r="E8" s="18" t="n">
        <x:v>35</x:v>
      </x:c>
      <x:c r="F8" s="18" t="n">
        <x:v>25</x:v>
      </x:c>
      <x:c r="G8" s="18" t="n">
        <x:f>AVERAGE(B8:F8)</x:f>
        <x:v>34.6</x:v>
      </x:c>
      <x:c r="H8" s="18" t="str">
        <x:f>IF(G8&lt;40,"NASCENT",IF(G8&lt;70,"DEVELOPING","MATURE"))</x:f>
        <x:v>NASCENT</x:v>
      </x:c>
      <x:c r="I8" s="18" t="str">
        <x:v>Existing</x:v>
      </x:c>
      <x:c r="J8" s="18" t="str">
        <x:v>Existing</x:v>
      </x:c>
      <x:c r="K8" s="18" t="str">
        <x:v>Replace with approved database</x:v>
      </x:c>
    </x:row>
  </x:sheetData>
  <x:mergeCells>
    <x:mergeCell ref="A1:K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6" hidden="0" customWidth="1"/>
    <x:col min="3" max="3" width="12" hidden="0" customWidth="1"/>
    <x:col min="4" max="4" width="18" hidden="0" customWidth="1"/>
    <x:col min="5" max="5" width="16" hidden="0" customWidth="1"/>
    <x:col min="6" max="6" width="18" hidden="0" customWidth="1"/>
    <x:col min="7" max="7" width="22" hidden="0" customWidth="1"/>
    <x:col min="8" max="8" width="24" hidden="0" customWidth="1"/>
    <x:col min="9" max="9" width="36" hidden="0" customWidth="1"/>
    <x:col min="10" max="10" width="44" hidden="0" customWidth="1"/>
  </x:cols>
  <x:sheetData>
    <x:row r="1">
      <x:c r="A1" s="4" t="str">
        <x:v>FINANCING PROFILE – AUTOMATIC SCORING</x:v>
      </x:c>
    </x:row>
    <x:row r="3">
      <x:c r="A3" s="12" t="str">
        <x:v>Financing Need Component</x:v>
      </x:c>
      <x:c r="B3" s="12" t="str">
        <x:v>Raw Score</x:v>
      </x:c>
      <x:c r="C3" s="12" t="str">
        <x:v>Weight</x:v>
      </x:c>
      <x:c r="D3" s="12" t="str">
        <x:v>Weighted Score</x:v>
      </x:c>
      <x:c r="E3" s="12" t="str">
        <x:v>Index</x:v>
      </x:c>
      <x:c r="F3" s="12" t="str">
        <x:v>Category</x:v>
      </x:c>
      <x:c r="G3" s="12" t="str">
        <x:v>Source</x:v>
      </x:c>
      <x:c r="H3" s="12" t="str">
        <x:v>Direction</x:v>
      </x:c>
      <x:c r="I3" s="12" t="str">
        <x:v>Interpretation</x:v>
      </x:c>
      <x:c r="J3" s="12" t="str">
        <x:v>Formula</x:v>
      </x:c>
    </x:row>
    <x:row r="4">
      <x:c r="A4" s="18" t="str">
        <x:v>FN1 Financing Need</x:v>
      </x:c>
      <x:c r="B4" s="22" t="n">
        <x:f>IF(Questionnaire!I10="","",Questionnaire!I10)</x:f>
        <x:v>5</x:v>
      </x:c>
      <x:c r="C4" s="18" t="n">
        <x:v>0.25</x:v>
      </x:c>
      <x:c r="D4" s="18" t="n">
        <x:f>IF(B4="","",B4*C4)</x:f>
        <x:v>1.25</x:v>
      </x:c>
      <x:c r="E4" s="18" t="str"/>
      <x:c r="F4" s="18" t="str"/>
      <x:c r="G4" s="18" t="str">
        <x:v>Questionnaire</x:v>
      </x:c>
      <x:c r="H4" s="18" t="str">
        <x:v>Higher=higher need</x:v>
      </x:c>
      <x:c r="I4" s="18" t="str">
        <x:v>External finance requirement</x:v>
      </x:c>
      <x:c r="J4" s="18" t="str">
        <x:v>Raw × 25%</x:v>
      </x:c>
    </x:row>
    <x:row r="5">
      <x:c r="A5" s="18" t="str">
        <x:v>FN2 Cash-flow Constraint</x:v>
      </x:c>
      <x:c r="B5" s="22" t="n">
        <x:f>IF(Questionnaire!I11="","",Questionnaire!I11)</x:f>
        <x:v>4</x:v>
      </x:c>
      <x:c r="C5" s="18" t="n">
        <x:v>0.25</x:v>
      </x:c>
      <x:c r="D5" s="18" t="n">
        <x:f>IF(B5="","",B5*C5)</x:f>
        <x:v>1</x:v>
      </x:c>
      <x:c r="E5" s="18" t="str"/>
      <x:c r="F5" s="18" t="str"/>
      <x:c r="G5" s="18" t="str">
        <x:v>Questionnaire</x:v>
      </x:c>
      <x:c r="H5" s="18" t="str">
        <x:v>Higher=higher need</x:v>
      </x:c>
      <x:c r="I5" s="18" t="str">
        <x:v>Internal funding constraint</x:v>
      </x:c>
      <x:c r="J5" s="18" t="str">
        <x:v>Raw × 25%</x:v>
      </x:c>
    </x:row>
    <x:row r="6">
      <x:c r="A6" s="18" t="str">
        <x:v>FN3 Payment Preference</x:v>
      </x:c>
      <x:c r="B6" s="22" t="n">
        <x:f>IF(Questionnaire!I12="","",Questionnaire!I12)</x:f>
        <x:v>5</x:v>
      </x:c>
      <x:c r="C6" s="18" t="n">
        <x:v>0.25</x:v>
      </x:c>
      <x:c r="D6" s="18" t="n">
        <x:f>IF(B6="","",B6*C6)</x:f>
        <x:v>1.25</x:v>
      </x:c>
      <x:c r="E6" s="18" t="str"/>
      <x:c r="F6" s="18" t="str"/>
      <x:c r="G6" s="18" t="str">
        <x:v>Questionnaire</x:v>
      </x:c>
      <x:c r="H6" s="18" t="str">
        <x:v>Higher=higher need</x:v>
      </x:c>
      <x:c r="I6" s="18" t="str">
        <x:v>Avoid upfront payment</x:v>
      </x:c>
      <x:c r="J6" s="18" t="str">
        <x:v>Raw × 25%</x:v>
      </x:c>
    </x:row>
    <x:row r="7">
      <x:c r="A7" s="18" t="str">
        <x:v>FN4 Support Requirement</x:v>
      </x:c>
      <x:c r="B7" s="22" t="n">
        <x:f>IF(Questionnaire!I13="","",Questionnaire!I13)</x:f>
        <x:v>5</x:v>
      </x:c>
      <x:c r="C7" s="18" t="n">
        <x:v>0.25</x:v>
      </x:c>
      <x:c r="D7" s="18" t="n">
        <x:f>IF(B7="","",B7*C7)</x:f>
        <x:v>1.25</x:v>
      </x:c>
      <x:c r="E7" s="18" t="str"/>
      <x:c r="F7" s="18" t="str"/>
      <x:c r="G7" s="18" t="str">
        <x:v>Questionnaire</x:v>
      </x:c>
      <x:c r="H7" s="18" t="str">
        <x:v>Higher=higher need</x:v>
      </x:c>
      <x:c r="I7" s="18" t="str">
        <x:v>External support requirement</x:v>
      </x:c>
      <x:c r="J7" s="18" t="str">
        <x:v>Raw × 25%</x:v>
      </x:c>
    </x:row>
    <x:row r="8">
      <x:c r="A8" s="18"/>
      <x:c r="B8" s="18"/>
      <x:c r="C8" s="18"/>
      <x:c r="D8" s="18"/>
      <x:c r="E8" s="18"/>
      <x:c r="F8" s="18"/>
      <x:c r="G8" s="18"/>
      <x:c r="H8" s="18"/>
      <x:c r="I8" s="18"/>
      <x:c r="J8" s="18"/>
    </x:row>
    <x:row r="9">
      <x:c r="A9" s="18" t="str">
        <x:v>Financing Need Score</x:v>
      </x:c>
      <x:c r="B9" s="18" t="n">
        <x:f>IF(COUNT(B4:B7)&lt;4,"",SUM(D4:D7))</x:f>
        <x:v>4.75</x:v>
      </x:c>
      <x:c r="C9" s="18" t="str"/>
      <x:c r="D9" s="18" t="str"/>
      <x:c r="E9" s="18" t="str"/>
      <x:c r="F9" s="18" t="str"/>
      <x:c r="G9" s="18"/>
      <x:c r="H9" s="18"/>
      <x:c r="I9" s="18"/>
      <x:c r="J9" s="18" t="str">
        <x:v>Sum of weighted FN components</x:v>
      </x:c>
    </x:row>
    <x:row r="10">
      <x:c r="A10" s="18" t="str">
        <x:v>Financing Need Index (0–100)</x:v>
      </x:c>
      <x:c r="B10" s="18" t="n">
        <x:f>IF(B9="","",(B9-1)/4*100)</x:f>
        <x:v>93.75</x:v>
      </x:c>
      <x:c r="C10" s="18" t="str"/>
      <x:c r="D10" s="18" t="str"/>
      <x:c r="E10" s="18" t="str"/>
      <x:c r="F10" s="18" t="str">
        <x:f>IF(B10="","",IF(B10&lt;=33,"LOW",IF(B10&lt;=66,"MEDIUM","HIGH")))</x:f>
        <x:v>HIGH</x:v>
      </x:c>
      <x:c r="G10" s="18"/>
      <x:c r="H10" s="18"/>
      <x:c r="I10" s="18"/>
      <x:c r="J10" s="18" t="str">
        <x:v>(Financing Need Score − 1) ÷ 4 × 100</x:v>
      </x:c>
    </x:row>
    <x:row r="11">
      <x:c r="A11" s="18"/>
      <x:c r="B11" s="18"/>
      <x:c r="C11" s="18"/>
      <x:c r="D11" s="18"/>
      <x:c r="E11" s="18"/>
      <x:c r="F11" s="18"/>
      <x:c r="G11" s="18"/>
      <x:c r="H11" s="18"/>
      <x:c r="I11" s="18"/>
      <x:c r="J11" s="18"/>
    </x:row>
    <x:row r="12">
      <x:c r="A12" s="18"/>
      <x:c r="B12" s="18"/>
      <x:c r="C12" s="18"/>
      <x:c r="D12" s="18"/>
      <x:c r="E12" s="18"/>
      <x:c r="F12" s="18"/>
      <x:c r="G12" s="18"/>
      <x:c r="H12" s="18"/>
      <x:c r="I12" s="18"/>
      <x:c r="J12" s="18"/>
    </x:row>
    <x:row r="13">
      <x:c r="A13" s="12" t="str">
        <x:v>Risk Profile Component</x:v>
      </x:c>
      <x:c r="B13" s="12" t="str">
        <x:v>Raw Score</x:v>
      </x:c>
      <x:c r="C13" s="12" t="str">
        <x:v>Weight</x:v>
      </x:c>
      <x:c r="D13" s="12" t="str">
        <x:v>Weighted Score</x:v>
      </x:c>
      <x:c r="E13" s="12" t="str">
        <x:v>Index</x:v>
      </x:c>
      <x:c r="F13" s="12" t="str">
        <x:v>Category</x:v>
      </x:c>
      <x:c r="G13" s="12" t="str">
        <x:v>Source</x:v>
      </x:c>
      <x:c r="H13" s="12" t="str">
        <x:v>Direction</x:v>
      </x:c>
      <x:c r="I13" s="12" t="str">
        <x:v>Interpretation</x:v>
      </x:c>
      <x:c r="J13" s="12" t="str">
        <x:v>Formula</x:v>
      </x:c>
    </x:row>
    <x:row r="14">
      <x:c r="A14" s="18" t="str">
        <x:v>RP1 Ownership Preference</x:v>
      </x:c>
      <x:c r="B14" s="22" t="n">
        <x:f>IF(Questionnaire!I14="","",Questionnaire!I14)</x:f>
        <x:v>5</x:v>
      </x:c>
      <x:c r="C14" s="18" t="n">
        <x:v>0.5</x:v>
      </x:c>
      <x:c r="D14" s="18" t="n">
        <x:f>IF(B14="","",B14*C14)</x:f>
        <x:v>2.5</x:v>
      </x:c>
      <x:c r="E14" s="18"/>
      <x:c r="F14" s="18"/>
      <x:c r="G14" s="18"/>
      <x:c r="H14" s="18"/>
      <x:c r="I14" s="18"/>
      <x:c r="J14" s="18"/>
    </x:row>
    <x:row r="15">
      <x:c r="A15" s="18" t="str">
        <x:v>RP2a</x:v>
      </x:c>
      <x:c r="B15" s="22" t="n">
        <x:f>IF(Questionnaire!I15="","",Questionnaire!I15)</x:f>
        <x:v>4</x:v>
      </x:c>
      <x:c r="C15" s="18"/>
      <x:c r="D15" s="18"/>
      <x:c r="E15" s="18"/>
      <x:c r="F15" s="18"/>
      <x:c r="G15" s="18"/>
      <x:c r="H15" s="18"/>
      <x:c r="I15" s="18" t="str">
        <x:v>Risk tolerance sub-item</x:v>
      </x:c>
      <x:c r="J15" s="18" t="str">
        <x:v>Included in average risk tolerance</x:v>
      </x:c>
    </x:row>
    <x:row r="16">
      <x:c r="A16" s="18" t="str">
        <x:v>RP2b</x:v>
      </x:c>
      <x:c r="B16" s="22" t="n">
        <x:f>IF(Questionnaire!I16="","",Questionnaire!I16)</x:f>
        <x:v>5</x:v>
      </x:c>
      <x:c r="C16" s="18"/>
      <x:c r="D16" s="18"/>
      <x:c r="E16" s="18"/>
      <x:c r="F16" s="18"/>
      <x:c r="G16" s="18"/>
      <x:c r="H16" s="18"/>
      <x:c r="I16" s="18" t="str">
        <x:v>Risk tolerance sub-item</x:v>
      </x:c>
      <x:c r="J16" s="18" t="str">
        <x:v>Included in average risk tolerance</x:v>
      </x:c>
    </x:row>
    <x:row r="17">
      <x:c r="A17" s="18" t="str">
        <x:v>RP2c</x:v>
      </x:c>
      <x:c r="B17" s="22" t="n">
        <x:f>IF(Questionnaire!I17="","",Questionnaire!I17)</x:f>
        <x:v>5</x:v>
      </x:c>
      <x:c r="C17" s="18"/>
      <x:c r="D17" s="18"/>
      <x:c r="E17" s="18"/>
      <x:c r="F17" s="18"/>
      <x:c r="G17" s="18"/>
      <x:c r="H17" s="18"/>
      <x:c r="I17" s="18" t="str">
        <x:v>Risk tolerance sub-item</x:v>
      </x:c>
      <x:c r="J17" s="18" t="str">
        <x:v>Included in average risk tolerance</x:v>
      </x:c>
    </x:row>
    <x:row r="18">
      <x:c r="A18" s="18" t="str">
        <x:v>RP2d</x:v>
      </x:c>
      <x:c r="B18" s="22" t="n">
        <x:f>IF(Questionnaire!I18="","",Questionnaire!I18)</x:f>
        <x:v>4</x:v>
      </x:c>
      <x:c r="C18" s="18"/>
      <x:c r="D18" s="18"/>
      <x:c r="E18" s="18"/>
      <x:c r="F18" s="18"/>
      <x:c r="G18" s="18"/>
      <x:c r="H18" s="18"/>
      <x:c r="I18" s="18" t="str">
        <x:v>Risk tolerance sub-item</x:v>
      </x:c>
      <x:c r="J18" s="18" t="str">
        <x:v>Included in average risk tolerance</x:v>
      </x:c>
    </x:row>
    <x:row r="19">
      <x:c r="A19" s="18" t="str">
        <x:v>RP2e</x:v>
      </x:c>
      <x:c r="B19" s="22" t="n">
        <x:f>IF(Questionnaire!I19="","",Questionnaire!I19)</x:f>
        <x:v>5</x:v>
      </x:c>
      <x:c r="C19" s="18"/>
      <x:c r="D19" s="18"/>
      <x:c r="E19" s="18"/>
      <x:c r="F19" s="18"/>
      <x:c r="G19" s="18"/>
      <x:c r="H19" s="18"/>
      <x:c r="I19" s="18" t="str">
        <x:v>Risk tolerance sub-item</x:v>
      </x:c>
      <x:c r="J19" s="18" t="str">
        <x:v>Included in average risk tolerance</x:v>
      </x:c>
    </x:row>
    <x:row r="20">
      <x:c r="A20" s="18"/>
      <x:c r="B20" s="18"/>
      <x:c r="C20" s="18"/>
      <x:c r="D20" s="18"/>
      <x:c r="E20" s="18"/>
      <x:c r="F20" s="18"/>
      <x:c r="G20" s="18"/>
      <x:c r="H20" s="18"/>
      <x:c r="I20" s="18"/>
      <x:c r="J20" s="18"/>
    </x:row>
    <x:row r="21">
      <x:c r="A21" s="18" t="str">
        <x:v>Risk Tolerance Score</x:v>
      </x:c>
      <x:c r="B21" s="18" t="n">
        <x:f>IF(COUNT(B15:B19)&lt;5,"",AVERAGE(B15:B19))</x:f>
        <x:v>4.6</x:v>
      </x:c>
      <x:c r="C21" s="18" t="n">
        <x:v>0.5</x:v>
      </x:c>
      <x:c r="D21" s="18" t="n">
        <x:f>IF(B21="","",B21*C21)</x:f>
        <x:v>2.3</x:v>
      </x:c>
      <x:c r="E21" s="18" t="str"/>
      <x:c r="F21" s="18" t="str"/>
      <x:c r="G21" s="18" t="str"/>
      <x:c r="H21" s="18" t="str"/>
      <x:c r="I21" s="18" t="str"/>
      <x:c r="J21" s="18" t="str">
        <x:v>Average RP2a–RP2e</x:v>
      </x:c>
    </x:row>
    <x:row r="22">
      <x:c r="A22" s="18" t="str">
        <x:v>Risk Profile Score</x:v>
      </x:c>
      <x:c r="B22" s="18" t="n">
        <x:f>IF(OR(B14="",B21=""),"",B14*0.5+B21*0.5)</x:f>
        <x:v>4.8</x:v>
      </x:c>
      <x:c r="C22" s="18" t="str"/>
      <x:c r="D22" s="18" t="str"/>
      <x:c r="E22" s="18" t="str"/>
      <x:c r="F22" s="18" t="str"/>
      <x:c r="G22" s="18" t="str"/>
      <x:c r="H22" s="18" t="str"/>
      <x:c r="I22" s="18" t="str"/>
      <x:c r="J22" s="18" t="str">
        <x:v>50% Ownership + 50% Risk Tolerance</x:v>
      </x:c>
    </x:row>
    <x:row r="23">
      <x:c r="A23" s="18" t="str">
        <x:v>Risk Profile Index (0–100)</x:v>
      </x:c>
      <x:c r="B23" s="18" t="n">
        <x:f>IF(B22="","",(B22-1)/4*100)</x:f>
        <x:v>95</x:v>
      </x:c>
      <x:c r="C23" s="18" t="str"/>
      <x:c r="D23" s="18" t="str"/>
      <x:c r="E23" s="18" t="str"/>
      <x:c r="F23" s="18" t="str"/>
      <x:c r="G23" s="18" t="str"/>
      <x:c r="H23" s="18" t="str"/>
      <x:c r="I23" s="18" t="str"/>
      <x:c r="J23" s="18" t="str">
        <x:v>(Risk Profile Score − 1) ÷ 4 × 100</x:v>
      </x:c>
    </x:row>
    <x:row r="24">
      <x:c r="A24" s="18" t="str">
        <x:v>Risk Category</x:v>
      </x:c>
      <x:c r="B24" s="18" t="str">
        <x:f>IF(B23="","",IF(B23&lt;=33,"LOW",IF(B23&lt;=66,"MEDIUM","HIGH")))</x:f>
        <x:v>HIGH</x:v>
      </x:c>
      <x:c r="C24" s="18" t="str"/>
      <x:c r="D24" s="18" t="str"/>
      <x:c r="E24" s="18" t="str"/>
      <x:c r="F24" s="18" t="str"/>
      <x:c r="G24" s="18" t="str"/>
      <x:c r="H24" s="18" t="str"/>
      <x:c r="I24" s="18" t="str"/>
      <x:c r="J24" s="18" t="str">
        <x:v>Index band: 0–33 Low; 34–66 Medium; 67–100 High</x:v>
      </x:c>
    </x:row>
    <x:row r="25">
      <x:c r="A25" s="18"/>
      <x:c r="B25" s="18"/>
      <x:c r="C25" s="18"/>
      <x:c r="D25" s="18"/>
      <x:c r="E25" s="18"/>
      <x:c r="F25" s="18"/>
      <x:c r="G25" s="18"/>
      <x:c r="H25" s="18"/>
      <x:c r="I25" s="18"/>
      <x:c r="J25" s="18"/>
    </x:row>
    <x:row r="26">
      <x:c r="A26" s="18" t="str">
        <x:v>Final Financing Profile</x:v>
      </x:c>
      <x:c r="B26" s="18" t="str">
        <x:f>IF(OR(B10="",B23=""),"Complete scored inputs",F10&amp;" Financing Need + "&amp;B24&amp;" Risk Profile")</x:f>
        <x:v>HIGH Financing Need + HIGH Risk Profile</x:v>
      </x:c>
      <x:c r="C26" s="18"/>
      <x:c r="D26" s="18"/>
      <x:c r="E26" s="18"/>
      <x:c r="F26" s="18"/>
      <x:c r="G26" s="18"/>
      <x:c r="H26" s="18"/>
      <x:c r="I26" s="18"/>
      <x:c r="J26" s="18"/>
    </x:row>
  </x:sheetData>
  <x:mergeCells>
    <x:mergeCell ref="A1:J1"/>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8" hidden="0" customWidth="1"/>
    <x:col min="5" max="5" width="52" hidden="0" customWidth="1"/>
    <x:col min="6" max="6" width="40" hidden="0" customWidth="1"/>
    <x:col min="7" max="7" width="36" hidden="0" customWidth="1"/>
    <x:col min="8" max="8" width="10" hidden="0" customWidth="1"/>
  </x:cols>
  <x:sheetData>
    <x:row r="1">
      <x:c r="A1" s="4" t="str">
        <x:v>TCO ENGINE – DIESEL VS EV</x:v>
      </x:c>
    </x:row>
    <x:row r="3">
      <x:c r="A3" s="12" t="str">
        <x:v>Parameter</x:v>
      </x:c>
      <x:c r="B3" s="12" t="str">
        <x:v>Diesel</x:v>
      </x:c>
      <x:c r="C3" s="12" t="str">
        <x:v>EV</x:v>
      </x:c>
      <x:c r="D3" s="12" t="str">
        <x:v>Unit</x:v>
      </x:c>
      <x:c r="E3" s="12" t="str">
        <x:v>Source</x:v>
      </x:c>
      <x:c r="F3" s="12" t="str">
        <x:v>Status</x:v>
      </x:c>
      <x:c r="G3" s="12" t="str">
        <x:v>Calculation input</x:v>
      </x:c>
      <x:c r="H3" s="12" t="str">
        <x:v>Notes</x:v>
      </x:c>
    </x:row>
    <x:row r="4">
      <x:c r="A4" t="str">
        <x:v>Vehicle CAPEX</x:v>
      </x:c>
      <x:c r="B4" s="24" t="n">
        <x:v>500</x:v>
      </x:c>
      <x:c r="C4" s="24" t="n">
        <x:v>850</x:v>
      </x:c>
      <x:c r="D4" t="str">
        <x:v>Rp million</x:v>
      </x:c>
      <x:c r="E4" t="str">
        <x:v>Questionnaire / SCE</x:v>
      </x:c>
      <x:c r="F4" t="str">
        <x:v>Illustrative</x:v>
      </x:c>
      <x:c r="G4" t="str">
        <x:v>Hardcoded assumption</x:v>
      </x:c>
      <x:c r="H4" t="str">
        <x:v>Replace with verified benchmark</x:v>
      </x:c>
    </x:row>
    <x:row r="5">
      <x:c r="A5" t="str">
        <x:v>Subsidy</x:v>
      </x:c>
      <x:c r="B5" s="24" t="n">
        <x:v>0</x:v>
      </x:c>
      <x:c r="C5" s="24" t="n">
        <x:v>100</x:v>
      </x:c>
      <x:c r="D5" t="str">
        <x:v>Rp million</x:v>
      </x:c>
      <x:c r="E5" t="str">
        <x:v>Questionnaire / policy</x:v>
      </x:c>
      <x:c r="F5" t="str">
        <x:v>Illustrative</x:v>
      </x:c>
      <x:c r="G5" t="str">
        <x:v>Hardcoded input</x:v>
      </x:c>
      <x:c r="H5" t="str">
        <x:v>0 if none</x:v>
      </x:c>
    </x:row>
    <x:row r="6">
      <x:c r="A6" t="str">
        <x:v>Annual Mileage</x:v>
      </x:c>
      <x:c r="B6" s="24" t="n">
        <x:v>50000</x:v>
      </x:c>
      <x:c r="C6" s="24" t="n">
        <x:v>50000</x:v>
      </x:c>
      <x:c r="D6" t="str">
        <x:v>km/year</x:v>
      </x:c>
      <x:c r="E6" t="str">
        <x:v>Questionnaire</x:v>
      </x:c>
      <x:c r="F6" t="str">
        <x:v>Illustrative</x:v>
      </x:c>
      <x:c r="G6" t="str">
        <x:v>Operating days × daily mileage</x:v>
      </x:c>
      <x:c r="H6" t="str"/>
    </x:row>
    <x:row r="7">
      <x:c r="A7" t="str">
        <x:v>Vehicle Lifetime</x:v>
      </x:c>
      <x:c r="B7" s="24" t="n">
        <x:v>8</x:v>
      </x:c>
      <x:c r="C7" s="24" t="n">
        <x:v>8</x:v>
      </x:c>
      <x:c r="D7" t="str">
        <x:v>years</x:v>
      </x:c>
      <x:c r="E7" t="str">
        <x:v>Questionnaire</x:v>
      </x:c>
      <x:c r="F7" t="str">
        <x:v>Illustrative</x:v>
      </x:c>
      <x:c r="G7" t="str">
        <x:v>Input</x:v>
      </x:c>
      <x:c r="H7" t="str"/>
    </x:row>
    <x:row r="8">
      <x:c r="A8" t="str">
        <x:v>Energy Cost/km</x:v>
      </x:c>
      <x:c r="B8" s="24" t="n">
        <x:v>906</x:v>
      </x:c>
      <x:c r="C8" s="24" t="n">
        <x:v>450</x:v>
      </x:c>
      <x:c r="D8" t="str">
        <x:v>Rp/km</x:v>
      </x:c>
      <x:c r="E8" t="str">
        <x:v>Questionnaire / SCE</x:v>
      </x:c>
      <x:c r="F8" t="str">
        <x:v>Illustrative</x:v>
      </x:c>
      <x:c r="G8" t="str">
        <x:v>Input</x:v>
      </x:c>
      <x:c r="H8" t="str"/>
    </x:row>
    <x:row r="9">
      <x:c r="A9" t="str">
        <x:v>Maintenance/year</x:v>
      </x:c>
      <x:c r="B9" s="24" t="n">
        <x:v>40</x:v>
      </x:c>
      <x:c r="C9" s="24" t="n">
        <x:v>25</x:v>
      </x:c>
      <x:c r="D9" t="str">
        <x:v>Rp million/year</x:v>
      </x:c>
      <x:c r="E9" t="str">
        <x:v>Questionnaire</x:v>
      </x:c>
      <x:c r="F9" t="str">
        <x:v>Illustrative</x:v>
      </x:c>
      <x:c r="G9" t="str">
        <x:v>Input</x:v>
      </x:c>
      <x:c r="H9" t="str"/>
    </x:row>
    <x:row r="10">
      <x:c r="A10" t="str">
        <x:v>Insurance + Tax/year</x:v>
      </x:c>
      <x:c r="B10" s="24" t="n">
        <x:v>15</x:v>
      </x:c>
      <x:c r="C10" s="24" t="n">
        <x:v>12</x:v>
      </x:c>
      <x:c r="D10" t="str">
        <x:v>Rp million/year</x:v>
      </x:c>
      <x:c r="E10" t="str">
        <x:v>Assumption</x:v>
      </x:c>
      <x:c r="F10" t="str">
        <x:v>Illustrative</x:v>
      </x:c>
      <x:c r="G10" t="str">
        <x:v>Input</x:v>
      </x:c>
      <x:c r="H10" t="str">
        <x:v>Replace with local benchmark</x:v>
      </x:c>
    </x:row>
    <x:row r="11">
      <x:c r="A11" t="str">
        <x:v>Charging CAPEX</x:v>
      </x:c>
      <x:c r="B11" s="24" t="n">
        <x:v>0</x:v>
      </x:c>
      <x:c r="C11" s="24" t="n">
        <x:v>50</x:v>
      </x:c>
      <x:c r="D11" t="str">
        <x:v>Rp million</x:v>
      </x:c>
      <x:c r="E11" t="str">
        <x:v>Questionnaire</x:v>
      </x:c>
      <x:c r="F11" t="str">
        <x:v>Illustrative</x:v>
      </x:c>
      <x:c r="G11" t="str">
        <x:v>Input</x:v>
      </x:c>
      <x:c r="H11" t="str"/>
    </x:row>
    <x:row r="12">
      <x:c r="A12" t="str">
        <x:v>Battery Replacement</x:v>
      </x:c>
      <x:c r="B12" s="24" t="n">
        <x:v>0</x:v>
      </x:c>
      <x:c r="C12" s="24" t="n">
        <x:v>100</x:v>
      </x:c>
      <x:c r="D12" t="str">
        <x:v>Rp million</x:v>
      </x:c>
      <x:c r="E12" t="str">
        <x:v>Questionnaire</x:v>
      </x:c>
      <x:c r="F12" t="str">
        <x:v>Illustrative</x:v>
      </x:c>
      <x:c r="G12" t="str">
        <x:v>Input</x:v>
      </x:c>
      <x:c r="H12" t="str"/>
    </x:row>
    <x:row r="13">
      <x:c r="A13" t="str">
        <x:v>Residual Value</x:v>
      </x:c>
      <x:c r="B13" s="24" t="n">
        <x:v>60</x:v>
      </x:c>
      <x:c r="C13" s="24" t="n">
        <x:v>0</x:v>
      </x:c>
      <x:c r="D13" t="str">
        <x:v>Rp million</x:v>
      </x:c>
      <x:c r="E13" t="str">
        <x:v>Questionnaire</x:v>
      </x:c>
      <x:c r="F13" t="str">
        <x:v>Illustrative</x:v>
      </x:c>
      <x:c r="G13" t="str">
        <x:v>Deduct at end</x:v>
      </x:c>
      <x:c r="H13" t="str"/>
    </x:row>
    <x:row r="14">
      <x:c r="A14" t="str">
        <x:v>Financing Cost</x:v>
      </x:c>
      <x:c r="B14" s="24" t="n">
        <x:v>30</x:v>
      </x:c>
      <x:c r="C14" s="24" t="n">
        <x:v>50</x:v>
      </x:c>
      <x:c r="D14" t="str">
        <x:v>Rp million</x:v>
      </x:c>
      <x:c r="E14" t="str">
        <x:v>Scenario</x:v>
      </x:c>
      <x:c r="F14" t="str">
        <x:v>Illustrative</x:v>
      </x:c>
      <x:c r="G14" t="str">
        <x:v>Optional scenario</x:v>
      </x:c>
      <x:c r="H14" t="str">
        <x:v>Apply consistently</x:v>
      </x:c>
    </x:row>
    <x:row r="17">
      <x:c r="A17" s="12" t="str">
        <x:v>Metric</x:v>
      </x:c>
      <x:c r="B17" s="12" t="str">
        <x:v>Diesel</x:v>
      </x:c>
      <x:c r="C17" s="12" t="str">
        <x:v>EV</x:v>
      </x:c>
      <x:c r="D17" s="12" t="str">
        <x:v>Unit</x:v>
      </x:c>
      <x:c r="E17" s="12" t="str">
        <x:v>Calculation Formula</x:v>
      </x:c>
      <x:c r="F17" s="12" t="str">
        <x:v>Formula Explanation</x:v>
      </x:c>
      <x:c r="G17" s="12" t="str">
        <x:v>Interpretation</x:v>
      </x:c>
      <x:c r="H17" s="12" t="str"/>
    </x:row>
    <x:row r="18">
      <x:c r="A18" s="18" t="str">
        <x:v>Annual Energy Cost</x:v>
      </x:c>
      <x:c r="B18" s="28" t="n">
        <x:f>B8*B6/1000000</x:f>
        <x:v>45.3</x:v>
      </x:c>
      <x:c r="C18" s="28" t="n">
        <x:f>C8*C6/1000000</x:f>
        <x:v>22.5</x:v>
      </x:c>
      <x:c r="D18" s="18" t="str">
        <x:v>Rp million/year</x:v>
      </x:c>
      <x:c r="E18" s="18" t="str">
        <x:v>Annual Mileage × Energy Cost/km</x:v>
      </x:c>
      <x:c r="F18" s="18" t="str">
        <x:v>Annual energy expenditure</x:v>
      </x:c>
      <x:c r="G18" s="18" t="str"/>
      <x:c r="H18" s="18"/>
    </x:row>
    <x:row r="19">
      <x:c r="A19" s="18" t="str">
        <x:v>Lifetime Energy Cost</x:v>
      </x:c>
      <x:c r="B19" s="28" t="n">
        <x:f>B18*B7</x:f>
        <x:v>362.4</x:v>
      </x:c>
      <x:c r="C19" s="28" t="n">
        <x:f>C18*C7</x:f>
        <x:v>180</x:v>
      </x:c>
      <x:c r="D19" s="18" t="str">
        <x:v>Rp million</x:v>
      </x:c>
      <x:c r="E19" s="18" t="str">
        <x:v>Annual Energy Cost × Vehicle Lifetime</x:v>
      </x:c>
      <x:c r="F19" s="18" t="str">
        <x:v>Energy over economic life</x:v>
      </x:c>
      <x:c r="G19" s="18" t="str"/>
      <x:c r="H19" s="18"/>
    </x:row>
    <x:row r="20">
      <x:c r="A20" s="18" t="str">
        <x:v>Lifetime Maintenance</x:v>
      </x:c>
      <x:c r="B20" s="28" t="n">
        <x:f>B9*B7</x:f>
        <x:v>320</x:v>
      </x:c>
      <x:c r="C20" s="28" t="n">
        <x:f>C9*C7</x:f>
        <x:v>200</x:v>
      </x:c>
      <x:c r="D20" s="18" t="str">
        <x:v>Rp million</x:v>
      </x:c>
      <x:c r="E20" s="18" t="str">
        <x:v>Annual Maintenance × Vehicle Lifetime</x:v>
      </x:c>
      <x:c r="F20" s="18" t="str">
        <x:v>Maintenance over economic life</x:v>
      </x:c>
      <x:c r="G20" s="18" t="str"/>
      <x:c r="H20" s="18"/>
    </x:row>
    <x:row r="21">
      <x:c r="A21" s="18" t="str">
        <x:v>Lifetime Insurance + Tax</x:v>
      </x:c>
      <x:c r="B21" s="28" t="n">
        <x:f>B10*B7</x:f>
        <x:v>120</x:v>
      </x:c>
      <x:c r="C21" s="28" t="n">
        <x:f>C10*C7</x:f>
        <x:v>96</x:v>
      </x:c>
      <x:c r="D21" s="18" t="str">
        <x:v>Rp million</x:v>
      </x:c>
      <x:c r="E21" s="18" t="str">
        <x:v>Annual Insurance + Tax × Vehicle Lifetime</x:v>
      </x:c>
      <x:c r="F21" s="18" t="str">
        <x:v>Insurance/tax over economic life</x:v>
      </x:c>
      <x:c r="G21" s="18" t="str"/>
      <x:c r="H21" s="18"/>
    </x:row>
    <x:row r="22">
      <x:c r="A22" s="18" t="str">
        <x:v>Total TCO</x:v>
      </x:c>
      <x:c r="B22" s="28" t="n">
        <x:f>B4+B19+B20+B21-B13+B14</x:f>
        <x:v>1272.4</x:v>
      </x:c>
      <x:c r="C22" s="28" t="n">
        <x:f>C4-C5+C19+C20+C21+C11+C12-C13+C14</x:f>
        <x:v>1426</x:v>
      </x:c>
      <x:c r="D22" s="18" t="str">
        <x:v>Rp million</x:v>
      </x:c>
      <x:c r="E22" s="18" t="str">
        <x:v>CAPEX − subsidy + lifetime costs + charging + battery + financing − residual</x:v>
      </x:c>
      <x:c r="F22" s="18" t="str">
        <x:v>Lifecycle cost</x:v>
      </x:c>
      <x:c r="G22" s="18" t="str"/>
      <x:c r="H22" s="18"/>
    </x:row>
    <x:row r="23">
      <x:c r="A23" s="18" t="str">
        <x:v>Lifetime Mileage</x:v>
      </x:c>
      <x:c r="B23" s="28" t="n">
        <x:f>B6*B7</x:f>
        <x:v>400000</x:v>
      </x:c>
      <x:c r="C23" s="28" t="n">
        <x:f>C6*C7</x:f>
        <x:v>400000</x:v>
      </x:c>
      <x:c r="D23" s="18" t="str">
        <x:v>km</x:v>
      </x:c>
      <x:c r="E23" s="18" t="str">
        <x:v>Annual Mileage × Vehicle Lifetime</x:v>
      </x:c>
      <x:c r="F23" s="18" t="str">
        <x:v>Total mileage in horizon</x:v>
      </x:c>
      <x:c r="G23" s="18" t="str"/>
      <x:c r="H23" s="18"/>
    </x:row>
    <x:row r="24">
      <x:c r="A24" s="18" t="str">
        <x:v>Cost / km</x:v>
      </x:c>
      <x:c r="B24" s="28" t="n">
        <x:f>B22*1000000/B23</x:f>
        <x:v>3181</x:v>
      </x:c>
      <x:c r="C24" s="28" t="n">
        <x:f>C22*1000000/C23</x:f>
        <x:v>3565</x:v>
      </x:c>
      <x:c r="D24" s="18" t="str">
        <x:v>Rp/km</x:v>
      </x:c>
      <x:c r="E24" s="18" t="str">
        <x:v>Total TCO ÷ Lifetime Mileage</x:v>
      </x:c>
      <x:c r="F24" s="18" t="str">
        <x:v>Lifecycle cost per km</x:v>
      </x:c>
      <x:c r="G24" s="18" t="str"/>
      <x:c r="H24" s="18"/>
    </x:row>
    <x:row r="25">
      <x:c r="A25" s="18" t="str">
        <x:v>Annual Operating OPEX</x:v>
      </x:c>
      <x:c r="B25" s="28" t="n">
        <x:f>B18+B9+B10</x:f>
        <x:v>100.3</x:v>
      </x:c>
      <x:c r="C25" s="28" t="n">
        <x:f>C18+C9+C10</x:f>
        <x:v>59.5</x:v>
      </x:c>
      <x:c r="D25" s="18" t="str">
        <x:v>Rp million/year</x:v>
      </x:c>
      <x:c r="E25" s="18" t="str">
        <x:v>Energy + maintenance + insurance/tax</x:v>
      </x:c>
      <x:c r="F25" s="18" t="str">
        <x:v>Recurring operating cost</x:v>
      </x:c>
      <x:c r="G25" s="18" t="str"/>
      <x:c r="H25" s="18"/>
    </x:row>
    <x:row r="26">
      <x:c r="A26" s="18" t="str">
        <x:v>Operating Cost Saving</x:v>
      </x:c>
      <x:c r="B26" s="28" t="n">
        <x:f>IF(B25=0,"",(B25-C25)/B25)</x:f>
        <x:v>0.4067796610169491</x:v>
      </x:c>
      <x:c r="C26" s="28" t="n">
        <x:f>IF(B25=0,"",(B25-C25)/B25)</x:f>
        <x:v>0.4067796610169491</x:v>
      </x:c>
      <x:c r="D26" s="18" t="str">
        <x:v>%</x:v>
      </x:c>
      <x:c r="E26" s="18" t="str">
        <x:v>(Diesel OPEX − EV OPEX) ÷ Diesel OPEX</x:v>
      </x:c>
      <x:c r="F26" s="18" t="str">
        <x:v>Positive = EV lower OPEX</x:v>
      </x:c>
      <x:c r="G26" s="18" t="str"/>
      <x:c r="H26" s="18"/>
    </x:row>
    <x:row r="27">
      <x:c r="A27" s="18" t="str">
        <x:v>Incremental CAPEX</x:v>
      </x:c>
      <x:c r="B27" s="28" t="n">
        <x:f>(C4-C5)-(B4-B5)</x:f>
        <x:v>250</x:v>
      </x:c>
      <x:c r="C27" s="28" t="n">
        <x:f>(C4-C5)-(B4-B5)</x:f>
        <x:v>250</x:v>
      </x:c>
      <x:c r="D27" s="18" t="str">
        <x:v>Rp million</x:v>
      </x:c>
      <x:c r="E27" s="18" t="str">
        <x:v>EV net CAPEX − Diesel net CAPEX</x:v>
      </x:c>
      <x:c r="F27" s="18" t="str">
        <x:v>Initial EV CAPEX premium</x:v>
      </x:c>
      <x:c r="G27" s="18" t="str"/>
      <x:c r="H27" s="18"/>
    </x:row>
    <x:row r="28">
      <x:c r="A28" s="18" t="str">
        <x:v>Annual Operating Saving</x:v>
      </x:c>
      <x:c r="B28" s="28" t="n">
        <x:f>B25-C25</x:f>
        <x:v>40.8</x:v>
      </x:c>
      <x:c r="C28" s="28" t="n">
        <x:f>B25-C25</x:f>
        <x:v>40.8</x:v>
      </x:c>
      <x:c r="D28" s="18" t="str">
        <x:v>Rp million/year</x:v>
      </x:c>
      <x:c r="E28" s="18" t="str">
        <x:v>Diesel OPEX − EV OPEX</x:v>
      </x:c>
      <x:c r="F28" s="18" t="str">
        <x:v>Annual cost reduction</x:v>
      </x:c>
      <x:c r="G28" s="18" t="str"/>
      <x:c r="H28" s="18"/>
    </x:row>
    <x:row r="29">
      <x:c r="A29" s="18" t="str">
        <x:v>Payback Period</x:v>
      </x:c>
      <x:c r="B29" s="28" t="n">
        <x:f>IF(B28&lt;=0,"N/A",B27/B28)</x:f>
        <x:v>6.127450980392157</x:v>
      </x:c>
      <x:c r="C29" s="28" t="n">
        <x:f>IF(C28&lt;=0,"N/A",C27/C28)</x:f>
        <x:v>6.127450980392157</x:v>
      </x:c>
      <x:c r="D29" s="18" t="str">
        <x:v>years</x:v>
      </x:c>
      <x:c r="E29" s="18" t="str">
        <x:v>Incremental CAPEX ÷ Annual Operating Saving</x:v>
      </x:c>
      <x:c r="F29" s="18" t="str">
        <x:v>Years to recover CAPEX premium</x:v>
      </x:c>
      <x:c r="G29" s="18" t="str"/>
      <x:c r="H29" s="18"/>
    </x:row>
    <x:row r="30">
      <x:c r="A30" s="18" t="str">
        <x:v>Break-even Mileage</x:v>
      </x:c>
      <x:c r="B30" s="28" t="n">
        <x:f>IF(B28&lt;=0,"N/A",B27/(B28/B6))</x:f>
        <x:v>306372.54901960783</x:v>
      </x:c>
      <x:c r="C30" s="28" t="n">
        <x:f>IF(C28&lt;=0,"N/A",C27/(C28/C6))</x:f>
        <x:v>306372.54901960783</x:v>
      </x:c>
      <x:c r="D30" s="18" t="str">
        <x:v>km</x:v>
      </x:c>
      <x:c r="E30" s="18" t="str">
        <x:v>Incremental CAPEX ÷ (Annual Saving ÷ Annual Mileage)</x:v>
      </x:c>
      <x:c r="F30" s="18" t="str">
        <x:v>Mileage to recover CAPEX premium</x:v>
      </x:c>
      <x:c r="G30" s="18" t="str"/>
      <x:c r="H30" s="18"/>
    </x:row>
    <x:row r="31">
      <x:c r="A31" s="18" t="str">
        <x:v>TCO Competitiveness Score</x:v>
      </x:c>
      <x:c r="B31" s="28" t="n">
        <x:f>IF(OR(B24="",C24=""),"",IF(C24&lt;=B24,100,IF(C24&gt;=1.5*B24,0,100-((C24/B24)-1)*200)))</x:f>
        <x:v>75.85664885256209</x:v>
      </x:c>
      <x:c r="C31" s="28" t="n">
        <x:f>IF(OR(B24="",C24=""),"",IF(C24&lt;=B24,100,IF(C24&gt;=1.5*B24,0,100-((C24/B24)-1)*200)))</x:f>
        <x:v>75.85664885256209</x:v>
      </x:c>
      <x:c r="D31" s="18" t="str">
        <x:v>0–100</x:v>
      </x:c>
      <x:c r="E31" s="18" t="str">
        <x:v>Normalize EV cost/km vs Diesel cost/km</x:v>
      </x:c>
      <x:c r="F31" s="18" t="str">
        <x:v>Higher = more competitive</x:v>
      </x:c>
      <x:c r="G31" s="18" t="str"/>
      <x:c r="H31" s="18"/>
    </x:row>
    <x:row r="32">
      <x:c r="A32" s="18" t="str">
        <x:v>Investment Burden Score</x:v>
      </x:c>
      <x:c r="B32" s="28" t="n">
        <x:f>IF(C4-C5&lt;=B4-B5,100,IF(C4-C5&gt;=2*(B4-B5),0,100-(((C4-C5)/(B4-B5)-1)*100)))</x:f>
        <x:v>50</x:v>
      </x:c>
      <x:c r="C32" s="28" t="n">
        <x:f>IF(C4-C5&lt;=B4-B5,100,IF(C4-C5&gt;=2*(B4-B5),0,100-(((C4-C5)/(B4-B5)-1)*100)))</x:f>
        <x:v>50</x:v>
      </x:c>
      <x:c r="D32" s="18" t="str">
        <x:v>0–100</x:v>
      </x:c>
      <x:c r="E32" s="18" t="str">
        <x:v>Normalize EV net CAPEX vs Diesel net CAPEX</x:v>
      </x:c>
      <x:c r="F32" s="18" t="str">
        <x:v>Higher = lower CAPEX burden</x:v>
      </x:c>
      <x:c r="G32" s="18" t="str"/>
      <x:c r="H32" s="18"/>
    </x:row>
  </x:sheetData>
  <x:mergeCells>
    <x:mergeCell ref="A1:H1"/>
  </x:mergeCells>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18" hidden="0" customWidth="1"/>
    <x:col min="3" max="3" width="12" hidden="0" customWidth="1"/>
    <x:col min="4" max="4" width="18" hidden="0" customWidth="1"/>
    <x:col min="5" max="5" width="28" hidden="0" customWidth="1"/>
    <x:col min="6" max="6" width="42" hidden="0" customWidth="1"/>
    <x:col min="7" max="7" width="44" hidden="0" customWidth="1"/>
    <x:col min="8" max="8" width="18" hidden="0" customWidth="1"/>
  </x:cols>
  <x:sheetData>
    <x:row r="1">
      <x:c r="A1" s="4" t="str">
        <x:v>PROJECT ECONOMIC READINESS – PROPOSED SYNTHESIS</x:v>
      </x:c>
    </x:row>
    <x:row r="3">
      <x:c r="A3" s="12" t="str">
        <x:v>Component</x:v>
      </x:c>
      <x:c r="B3" s="12" t="str">
        <x:v>Score</x:v>
      </x:c>
      <x:c r="C3" s="12" t="str">
        <x:v>Weight</x:v>
      </x:c>
      <x:c r="D3" s="12" t="str">
        <x:v>Weighted</x:v>
      </x:c>
      <x:c r="E3" s="12" t="str">
        <x:v>Source</x:v>
      </x:c>
      <x:c r="F3" s="12" t="str">
        <x:v>Formula</x:v>
      </x:c>
      <x:c r="G3" s="12" t="str">
        <x:v>Interpretation</x:v>
      </x:c>
      <x:c r="H3" s="12" t="str">
        <x:v>Status</x:v>
      </x:c>
    </x:row>
    <x:row r="4">
      <x:c r="A4" s="18" t="str">
        <x:v>TCO Competitiveness</x:v>
      </x:c>
      <x:c r="B4" s="18" t="n">
        <x:f>TCO!C31</x:f>
        <x:v>75.85664885256209</x:v>
      </x:c>
      <x:c r="C4" s="18" t="n">
        <x:v>0.5</x:v>
      </x:c>
      <x:c r="D4" s="18" t="n">
        <x:f>B4*C4</x:f>
        <x:v>37.928324426281044</x:v>
      </x:c>
      <x:c r="E4" s="18" t="str">
        <x:v>TCO</x:v>
      </x:c>
      <x:c r="F4" s="18" t="str">
        <x:v>TCO score × 50%</x:v>
      </x:c>
      <x:c r="G4" s="18" t="str">
        <x:v>Economic efficiency</x:v>
      </x:c>
      <x:c r="H4" s="18" t="str">
        <x:v>Proposed</x:v>
      </x:c>
    </x:row>
    <x:row r="5">
      <x:c r="A5" s="18" t="str">
        <x:v>Investment Burden</x:v>
      </x:c>
      <x:c r="B5" s="18" t="n">
        <x:f>TCO!C32</x:f>
        <x:v>50</x:v>
      </x:c>
      <x:c r="C5" s="18" t="n">
        <x:v>0.25</x:v>
      </x:c>
      <x:c r="D5" s="18" t="n">
        <x:f>B5*C5</x:f>
        <x:v>12.5</x:v>
      </x:c>
      <x:c r="E5" s="18" t="str">
        <x:v>TCO</x:v>
      </x:c>
      <x:c r="F5" s="18" t="str">
        <x:v>Investment score × 25%</x:v>
      </x:c>
      <x:c r="G5" s="18" t="str">
        <x:v>Initial capital burden</x:v>
      </x:c>
      <x:c r="H5" s="18" t="str">
        <x:v>Proposed</x:v>
      </x:c>
    </x:row>
    <x:row r="6">
      <x:c r="A6" s="18" t="str">
        <x:v>Financing Market Accessibility</x:v>
      </x:c>
      <x:c r="B6" s="18" t="n">
        <x:v>55</x:v>
      </x:c>
      <x:c r="C6" s="18" t="n">
        <x:v>0.25</x:v>
      </x:c>
      <x:c r="D6" s="18" t="n">
        <x:f>B6*C6</x:f>
        <x:v>13.75</x:v>
      </x:c>
      <x:c r="E6" s="18" t="str">
        <x:v>Supply-side assessment</x:v>
      </x:c>
      <x:c r="F6" s="18" t="str">
        <x:v>Score × 25%</x:v>
      </x:c>
      <x:c r="G6" s="18" t="str">
        <x:v>Availability/accessibility of financing</x:v>
      </x:c>
      <x:c r="H6" s="18" t="str">
        <x:v>Illustrative</x:v>
      </x:c>
    </x:row>
    <x:row r="7">
      <x:c r="A7" s="18" t="str">
        <x:v>Project Economic Readiness</x:v>
      </x:c>
      <x:c r="B7" s="18" t="n">
        <x:f>IF(COUNT(B4:B6)&lt;3,"",SUM(D4:D6))</x:f>
        <x:v>64.17832442628105</x:v>
      </x:c>
      <x:c r="C7" s="18" t="str"/>
      <x:c r="D7" s="18" t="str"/>
      <x:c r="E7" s="18" t="str">
        <x:v>Derived</x:v>
      </x:c>
      <x:c r="F7" s="18" t="str">
        <x:v>Sum weighted components</x:v>
      </x:c>
      <x:c r="G7" s="18" t="str">
        <x:v>Project-level economic evidence; not city CRI</x:v>
      </x:c>
      <x:c r="H7" s="18" t="str">
        <x:v>Proposed</x:v>
      </x:c>
    </x:row>
    <x:row r="8">
      <x:c r="A8" s="18"/>
      <x:c r="B8" s="18"/>
      <x:c r="C8" s="18"/>
      <x:c r="D8" s="18"/>
      <x:c r="E8" s="18"/>
      <x:c r="F8" s="18"/>
      <x:c r="G8" s="18"/>
      <x:c r="H8" s="18"/>
    </x:row>
    <x:row r="9">
      <x:c r="A9" s="18"/>
      <x:c r="B9" s="18"/>
      <x:c r="C9" s="18"/>
      <x:c r="D9" s="18"/>
      <x:c r="E9" s="18"/>
      <x:c r="F9" s="18"/>
      <x:c r="G9" s="18"/>
      <x:c r="H9" s="18"/>
    </x:row>
    <x:row r="10">
      <x:c r="A10" s="18" t="str">
        <x:v>Important</x:v>
      </x:c>
      <x:c r="B10" s="18" t="str"/>
      <x:c r="C10" s="18" t="str"/>
      <x:c r="D10" s="18" t="str"/>
      <x:c r="E10" s="18" t="str"/>
      <x:c r="F10" s="18" t="str"/>
      <x:c r="G10" s="18" t="str"/>
      <x:c r="H10" s="18" t="str"/>
    </x:row>
    <x:row r="11">
      <x:c r="A11" s="18" t="str">
        <x:v>Economic Readiness here is a project-level synthesis. Do not add Pak Tilaka's city-level Economic Scale again, to avoid double counting.</x:v>
      </x:c>
      <x:c r="B11" s="18" t="str"/>
      <x:c r="C11" s="18" t="str"/>
      <x:c r="D11" s="18" t="str"/>
      <x:c r="E11" s="18" t="str"/>
      <x:c r="F11" s="18" t="str"/>
      <x:c r="G11" s="18" t="str"/>
      <x:c r="H11" s="18" t="str"/>
    </x:row>
  </x:sheetData>
  <x:mergeCells>
    <x:mergeCell ref="A1:H1"/>
    <x:mergeCell ref="B11:H1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2" hidden="0" customWidth="1"/>
    <x:col min="3" max="3" width="36" hidden="0" customWidth="1"/>
    <x:col min="4" max="4" width="18" hidden="0" customWidth="1"/>
    <x:col min="5" max="5" width="18" hidden="0" customWidth="1"/>
    <x:col min="6" max="6" width="22" hidden="0" customWidth="1"/>
    <x:col min="7" max="7" width="30" hidden="0" customWidth="1"/>
    <x:col min="8" max="8" width="28" hidden="0" customWidth="1"/>
    <x:col min="9" max="9" width="40" hidden="0" customWidth="1"/>
    <x:col min="10" max="10" width="38" hidden="0" customWidth="1"/>
  </x:cols>
  <x:sheetData>
    <x:row r="1">
      <x:c r="A1" s="4" t="str">
        <x:v>FINANCING SCHEME LIBRARY – 7 SCHEMES</x:v>
      </x:c>
    </x:row>
    <x:row r="3">
      <x:c r="A3" s="12" t="str">
        <x:v>Scheme</x:v>
      </x:c>
      <x:c r="B3" s="12" t="str">
        <x:v>Name</x:v>
      </x:c>
      <x:c r="C3" s="12" t="str">
        <x:v>Mechanism</x:v>
      </x:c>
      <x:c r="D3" s="12" t="str">
        <x:v>Need</x:v>
      </x:c>
      <x:c r="E3" s="12" t="str">
        <x:v>Risk Transfer</x:v>
      </x:c>
      <x:c r="F3" s="12" t="str">
        <x:v>Payment</x:v>
      </x:c>
      <x:c r="G3" s="12" t="str">
        <x:v>Asset Scope</x:v>
      </x:c>
      <x:c r="H3" s="12" t="str">
        <x:v>Typical Support</x:v>
      </x:c>
      <x:c r="I3" s="12" t="str">
        <x:v>Best Fit</x:v>
      </x:c>
      <x:c r="J3" s="12" t="str">
        <x:v>Main Constraint</x:v>
      </x:c>
    </x:row>
    <x:row r="4">
      <x:c r="A4" s="18" t="str">
        <x:v>1</x:v>
      </x:c>
      <x:c r="B4" s="18" t="str">
        <x:v>Conventional Ownership</x:v>
      </x:c>
      <x:c r="C4" s="18" t="str">
        <x:v>Own &amp; operate</x:v>
      </x:c>
      <x:c r="D4" s="18" t="str">
        <x:v>Low</x:v>
      </x:c>
      <x:c r="E4" s="18" t="str">
        <x:v>Low</x:v>
      </x:c>
      <x:c r="F4" s="18" t="str">
        <x:v>Upfront / loan</x:v>
      </x:c>
      <x:c r="G4" s="18" t="str">
        <x:v>Vehicle</x:v>
      </x:c>
      <x:c r="H4" s="18" t="str">
        <x:v>Limited</x:v>
      </x:c>
      <x:c r="I4" s="18" t="str">
        <x:v>Strong funding + ownership</x:v>
      </x:c>
      <x:c r="J4" s="18" t="str">
        <x:v>High CAPEX</x:v>
      </x:c>
    </x:row>
    <x:row r="5">
      <x:c r="A5" s="18" t="str">
        <x:v>2</x:v>
      </x:c>
      <x:c r="B5" s="18" t="str">
        <x:v>Conversion / Recycle</x:v>
      </x:c>
      <x:c r="C5" s="18" t="str">
        <x:v>Convert/recycle existing ICE</x:v>
      </x:c>
      <x:c r="D5" s="18" t="str">
        <x:v>Medium</x:v>
      </x:c>
      <x:c r="E5" s="18" t="str">
        <x:v>Medium</x:v>
      </x:c>
      <x:c r="F5" s="18" t="str">
        <x:v>Project / loan</x:v>
      </x:c>
      <x:c r="G5" s="18" t="str">
        <x:v>Existing fleet</x:v>
      </x:c>
      <x:c r="H5" s="18" t="str">
        <x:v>Government</x:v>
      </x:c>
      <x:c r="I5" s="18" t="str">
        <x:v>Suitable legacy fleet</x:v>
      </x:c>
      <x:c r="J5" s="18" t="str">
        <x:v>Technical feasibility</x:v>
      </x:c>
    </x:row>
    <x:row r="6">
      <x:c r="A6" s="18" t="str">
        <x:v>3</x:v>
      </x:c>
      <x:c r="B6" s="18" t="str">
        <x:v>Lease / Rent</x:v>
      </x:c>
      <x:c r="C6" s="18" t="str">
        <x:v>Vehicle leased; operator runs</x:v>
      </x:c>
      <x:c r="D6" s="18" t="str">
        <x:v>Medium–High</x:v>
      </x:c>
      <x:c r="E6" s="18" t="str">
        <x:v>Medium</x:v>
      </x:c>
      <x:c r="F6" s="18" t="str">
        <x:v>Monthly</x:v>
      </x:c>
      <x:c r="G6" s="18" t="str">
        <x:v>Vehicle</x:v>
      </x:c>
      <x:c r="H6" s="18" t="str">
        <x:v>Potential green finance</x:v>
      </x:c>
      <x:c r="I6" s="18" t="str">
        <x:v>Payment smoothing</x:v>
      </x:c>
      <x:c r="J6" s="18" t="str">
        <x:v>Residual/provider risk</x:v>
      </x:c>
    </x:row>
    <x:row r="7">
      <x:c r="A7" s="18" t="str">
        <x:v>4</x:v>
      </x:c>
      <x:c r="B7" s="18" t="str">
        <x:v>Lease + Charging</x:v>
      </x:c>
      <x:c r="C7" s="18" t="str">
        <x:v>Vehicle lease + charging</x:v>
      </x:c>
      <x:c r="D7" s="18" t="str">
        <x:v>High</x:v>
      </x:c>
      <x:c r="E7" s="18" t="str">
        <x:v>Medium–High</x:v>
      </x:c>
      <x:c r="F7" s="18" t="str">
        <x:v>Bundled</x:v>
      </x:c>
      <x:c r="G7" s="18" t="str">
        <x:v>Vehicle + charging</x:v>
      </x:c>
      <x:c r="H7" s="18" t="str">
        <x:v>Infrastructure support</x:v>
      </x:c>
      <x:c r="I7" s="18" t="str">
        <x:v>Charging CAPEX constraint</x:v>
      </x:c>
      <x:c r="J7" s="18" t="str">
        <x:v>Site economics</x:v>
      </x:c>
    </x:row>
    <x:row r="8">
      <x:c r="A8" s="18" t="str">
        <x:v>4a/4b</x:v>
      </x:c>
      <x:c r="B8" s="18" t="str">
        <x:v>Battery Risk Separation / BaaS</x:v>
      </x:c>
      <x:c r="C8" s="18" t="str">
        <x:v>Separate battery financing/service</x:v>
      </x:c>
      <x:c r="D8" s="18" t="str">
        <x:v>High</x:v>
      </x:c>
      <x:c r="E8" s="18" t="str">
        <x:v>High</x:v>
      </x:c>
      <x:c r="F8" s="18" t="str">
        <x:v>Monthly / per-km</x:v>
      </x:c>
      <x:c r="G8" s="18" t="str">
        <x:v>Vehicle + battery</x:v>
      </x:c>
      <x:c r="H8" s="18" t="str">
        <x:v>Green / guarantee</x:v>
      </x:c>
      <x:c r="I8" s="18" t="str">
        <x:v>Battery/residual risk concern</x:v>
      </x:c>
      <x:c r="J8" s="18" t="str">
        <x:v>Provider capability</x:v>
      </x:c>
    </x:row>
    <x:row r="9">
      <x:c r="A9" s="18" t="str">
        <x:v>5</x:v>
      </x:c>
      <x:c r="B9" s="18" t="str">
        <x:v>Blended Finance / VGF</x:v>
      </x:c>
      <x:c r="C9" s="18" t="str">
        <x:v>Public/private risk sharing</x:v>
      </x:c>
      <x:c r="D9" s="18" t="str">
        <x:v>High</x:v>
      </x:c>
      <x:c r="E9" s="18" t="str">
        <x:v>High</x:v>
      </x:c>
      <x:c r="F9" s="18" t="str">
        <x:v>Structured</x:v>
      </x:c>
      <x:c r="G9" s="18" t="str">
        <x:v>Vehicle / project / infrastructure</x:v>
      </x:c>
      <x:c r="H9" s="18" t="str">
        <x:v>High</x:v>
      </x:c>
      <x:c r="I9" s="18" t="str">
        <x:v>Economic/financing gap</x:v>
      </x:c>
      <x:c r="J9" s="18" t="str">
        <x:v>Gap justification</x:v>
      </x:c>
    </x:row>
    <x:row r="10">
      <x:c r="A10" s="18" t="str">
        <x:v>6</x:v>
      </x:c>
      <x:c r="B10" s="18" t="str">
        <x:v>Performance-based / FaaS</x:v>
      </x:c>
      <x:c r="C10" s="18" t="str">
        <x:v>Pay per km / trip / availability</x:v>
      </x:c>
      <x:c r="D10" s="18" t="str">
        <x:v>High</x:v>
      </x:c>
      <x:c r="E10" s="18" t="str">
        <x:v>High</x:v>
      </x:c>
      <x:c r="F10" s="18" t="str">
        <x:v>Usage / performance</x:v>
      </x:c>
      <x:c r="G10" s="18" t="str">
        <x:v>Fleet / service</x:v>
      </x:c>
      <x:c r="H10" s="18" t="str">
        <x:v>Potential green / blended</x:v>
      </x:c>
      <x:c r="I10" s="18" t="str">
        <x:v>Asset-light + high utilisation</x:v>
      </x:c>
      <x:c r="J10" s="18" t="str">
        <x:v>SLA/utilisation risk</x:v>
      </x:c>
    </x:row>
    <x:row r="11">
      <x:c r="A11" s="18" t="str">
        <x:v>7</x:v>
      </x:c>
      <x:c r="B11" s="18" t="str">
        <x:v>Total Outsourcing</x:v>
      </x:c>
      <x:c r="C11" s="18" t="str">
        <x:v>Third party fleet + operations</x:v>
      </x:c>
      <x:c r="D11" s="18" t="str">
        <x:v>High</x:v>
      </x:c>
      <x:c r="E11" s="18" t="str">
        <x:v>Very high</x:v>
      </x:c>
      <x:c r="F11" s="18" t="str">
        <x:v>Service fee</x:v>
      </x:c>
      <x:c r="G11" s="18" t="str">
        <x:v>Full service</x:v>
      </x:c>
      <x:c r="H11" s="18" t="str">
        <x:v>Potential support</x:v>
      </x:c>
      <x:c r="I11" s="18" t="str">
        <x:v>Maximum risk transfer</x:v>
      </x:c>
      <x:c r="J11" s="18" t="str">
        <x:v>Provider dependency</x:v>
      </x:c>
    </x:row>
  </x:sheetData>
  <x:mergeCells>
    <x:mergeCell ref="A1:J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4" hidden="0" customWidth="1"/>
    <x:col min="3" max="3" width="14" hidden="0" customWidth="1"/>
    <x:col min="4" max="4" width="14" hidden="0" customWidth="1"/>
    <x:col min="5" max="5" width="18" hidden="0" customWidth="1"/>
    <x:col min="6" max="6" width="15" hidden="0" customWidth="1"/>
    <x:col min="7" max="7" width="18" hidden="0" customWidth="1"/>
    <x:col min="8" max="8" width="18" hidden="0" customWidth="1"/>
    <x:col min="9" max="9" width="10" hidden="0" customWidth="1"/>
    <x:col min="10" max="10" width="16" hidden="0" customWidth="1"/>
    <x:col min="11" max="11" width="30" hidden="0" customWidth="1"/>
    <x:col min="12" max="12" width="34" hidden="0" customWidth="1"/>
    <x:col min="13" max="13" width="17" hidden="0" customWidth="1"/>
    <x:col min="14" max="14" width="18" hidden="0" customWidth="1"/>
    <x:col min="15" max="15" width="62" hidden="0" customWidth="1"/>
  </x:cols>
  <x:sheetData>
    <x:row r="1">
      <x:c r="A1" s="4" t="str">
        <x:v>SCHEME MATCHING – DEMAND × RISK × TCO × OPERATION × SUPPORT</x:v>
      </x:c>
    </x:row>
    <x:row r="3">
      <x:c r="A3" s="12" t="str">
        <x:v>Scheme</x:v>
      </x:c>
      <x:c r="B3" s="12" t="str">
        <x:v>Need Fit</x:v>
      </x:c>
      <x:c r="C3" s="12" t="str">
        <x:v>Risk Fit</x:v>
      </x:c>
      <x:c r="D3" s="12" t="str">
        <x:v>TCO Fit</x:v>
      </x:c>
      <x:c r="E3" s="12" t="str">
        <x:v>Operational Fit</x:v>
      </x:c>
      <x:c r="F3" s="12" t="str">
        <x:v>Payment Fit</x:v>
      </x:c>
      <x:c r="G3" s="12" t="str">
        <x:v>Support/SF Fit</x:v>
      </x:c>
      <x:c r="H3" s="12" t="str">
        <x:v>Fit Score</x:v>
      </x:c>
      <x:c r="I3" s="12" t="str">
        <x:v>Rank</x:v>
      </x:c>
      <x:c r="J3" s="12" t="str">
        <x:v>Status</x:v>
      </x:c>
      <x:c r="K3" s="12" t="str">
        <x:v>Main purpose</x:v>
      </x:c>
      <x:c r="L3" s="12" t="str">
        <x:v>Indicative structure</x:v>
      </x:c>
      <x:c r="M3" s="12" t="str">
        <x:v>Uses CRI context?</x:v>
      </x:c>
      <x:c r="N3" s="12" t="str">
        <x:v>Calibration</x:v>
      </x:c>
      <x:c r="O3" s="12" t="str">
        <x:v>Formula</x:v>
      </x:c>
    </x:row>
    <x:row r="4">
      <x:c r="A4" s="18" t="str">
        <x:v>1</x:v>
      </x:c>
      <x:c r="B4" s="18" t="n">
        <x:f>IF(IF($B$15&lt;=33,"LOW",IF($B$15&lt;=66,"MEDIUM","HIGH"))="LOW",100,70)</x:f>
        <x:v>70</x:v>
      </x:c>
      <x:c r="C4" s="18" t="n">
        <x:f>IF(IF($B$16&lt;=33,"LOW",IF($B$16&lt;=66,"MEDIUM","HIGH"))="LOW",100,70)</x:f>
        <x:v>70</x:v>
      </x:c>
      <x:c r="D4" s="18" t="n">
        <x:f>IF($B$19&lt;=$B$20,100,IF(OR(A4="5",A4="6",A4="7"),70,40))</x:f>
        <x:v>40</x:v>
      </x:c>
      <x:c r="E4" s="18" t="n">
        <x:v>80</x:v>
      </x:c>
      <x:c r="F4" s="18" t="n">
        <x:v>50</x:v>
      </x:c>
      <x:c r="G4" s="18" t="n">
        <x:f>IF(A4="5",IF(Questionnaire!I13&gt;=4,100,70),IF(OR(A4="3",A4="4",A4="4a/4b",A4="6"),80,70))</x:f>
        <x:v>70</x:v>
      </x:c>
      <x:c r="H4" s="18" t="n">
        <x:f>B4*$E$15+C4*$E$16+D4*$E$17+E4*$E$18+F4*$E$19+G4*$E$20</x:f>
        <x:v>63.5</x:v>
      </x:c>
      <x:c r="I4" s="18" t="n">
        <x:f>RANK(H4,$H$4:$H$11,0)</x:f>
        <x:v>7</x:v>
      </x:c>
      <x:c r="J4" s="18" t="str">
        <x:f>IF(I4=1,"PRIMARY",IF(I4=2,"ALTERNATIVE",""))</x:f>
      </x:c>
      <x:c r="K4" s="18" t="str">
        <x:v>Ownership / funding</x:v>
      </x:c>
      <x:c r="L4" s="18" t="str">
        <x:v>Ownership + loan</x:v>
      </x:c>
      <x:c r="M4" s="18" t="str">
        <x:v>Yes</x:v>
      </x:c>
      <x:c r="N4" s="18" t="str">
        <x:v>Proposed</x:v>
      </x:c>
      <x:c r="O4" s="18" t="str">
        <x:v>20% need + 20% risk + 20% TCO + 15% ops + 10% payment + 15% support</x:v>
      </x:c>
    </x:row>
    <x:row r="5">
      <x:c r="A5" s="18" t="str">
        <x:v>2</x:v>
      </x:c>
      <x:c r="B5" s="18" t="n">
        <x:f>IF(IF($B$15&lt;=33,"LOW",IF($B$15&lt;=66,"MEDIUM","HIGH"))="MEDIUM",100,70)</x:f>
        <x:v>70</x:v>
      </x:c>
      <x:c r="C5" s="18" t="n">
        <x:f>IF(IF($B$16&lt;=33,"LOW",IF($B$16&lt;=66,"MEDIUM","HIGH"))="MEDIUM",100,70)</x:f>
        <x:v>70</x:v>
      </x:c>
      <x:c r="D5" s="18" t="n">
        <x:f>IF($B$19&lt;=$B$20,100,IF(OR(A5="5",A5="6",A5="7"),70,40))</x:f>
        <x:v>40</x:v>
      </x:c>
      <x:c r="E5" s="18" t="n">
        <x:v>70</x:v>
      </x:c>
      <x:c r="F5" s="18" t="n">
        <x:v>60</x:v>
      </x:c>
      <x:c r="G5" s="18" t="n">
        <x:f>IF(A5="5",IF(Questionnaire!I13&gt;=4,100,70),IF(OR(A5="3",A5="4",A5="4a/4b",A5="6"),80,70))</x:f>
        <x:v>70</x:v>
      </x:c>
      <x:c r="H5" s="18" t="n">
        <x:f>B5*$E$15+C5*$E$16+D5*$E$17+E5*$E$18+F5*$E$19+G5*$E$20</x:f>
        <x:v>63</x:v>
      </x:c>
      <x:c r="I5" s="18" t="n">
        <x:f>RANK(H5,$H$4:$H$11,0)</x:f>
        <x:v>8</x:v>
      </x:c>
      <x:c r="J5" s="18" t="str">
        <x:f>IF(I5=1,"PRIMARY",IF(I5=2,"ALTERNATIVE",""))</x:f>
      </x:c>
      <x:c r="K5" s="18" t="str">
        <x:v>Legacy conversion</x:v>
      </x:c>
      <x:c r="L5" s="18" t="str">
        <x:v>Conversion support</x:v>
      </x:c>
      <x:c r="M5" s="18" t="str">
        <x:v>Yes</x:v>
      </x:c>
      <x:c r="N5" s="18" t="str">
        <x:v>Proposed</x:v>
      </x:c>
      <x:c r="O5" s="18" t="str">
        <x:v>20% need + 20% risk + 20% TCO + 15% ops + 10% payment + 15% support</x:v>
      </x:c>
    </x:row>
    <x:row r="6">
      <x:c r="A6" s="18" t="str">
        <x:v>3</x:v>
      </x:c>
      <x:c r="B6" s="18" t="n">
        <x:f>IF(IF($B$15&lt;=33,"LOW",IF($B$15&lt;=66,"MEDIUM","HIGH"))="HIGH",100,70)</x:f>
        <x:v>100</x:v>
      </x:c>
      <x:c r="C6" s="18" t="n">
        <x:f>IF(IF($B$16&lt;=33,"LOW",IF($B$16&lt;=66,"MEDIUM","HIGH"))="MEDIUM",100,70)</x:f>
        <x:v>70</x:v>
      </x:c>
      <x:c r="D6" s="18" t="n">
        <x:f>IF($B$19&lt;=$B$20,100,IF(OR(A6="5",A6="6",A6="7"),70,40))</x:f>
        <x:v>40</x:v>
      </x:c>
      <x:c r="E6" s="18" t="n">
        <x:v>85</x:v>
      </x:c>
      <x:c r="F6" s="18" t="n">
        <x:v>85</x:v>
      </x:c>
      <x:c r="G6" s="18" t="n">
        <x:f>IF(A6="5",IF(Questionnaire!I13&gt;=4,100,70),IF(OR(A6="3",A6="4",A6="4a/4b",A6="6"),80,70))</x:f>
        <x:v>80</x:v>
      </x:c>
      <x:c r="H6" s="18" t="n">
        <x:f>B6*$E$15+C6*$E$16+D6*$E$17+E6*$E$18+F6*$E$19+G6*$E$20</x:f>
        <x:v>75.25</x:v>
      </x:c>
      <x:c r="I6" s="18" t="n">
        <x:f>RANK(H6,$H$4:$H$11,0)</x:f>
        <x:v>6</x:v>
      </x:c>
      <x:c r="J6" s="18" t="str">
        <x:f>IF(I6=1,"PRIMARY",IF(I6=2,"ALTERNATIVE",""))</x:f>
      </x:c>
      <x:c r="K6" s="18" t="str">
        <x:v>Payment smoothing</x:v>
      </x:c>
      <x:c r="L6" s="18" t="str">
        <x:v>EV leasing / rent</x:v>
      </x:c>
      <x:c r="M6" s="18" t="str">
        <x:v>Yes</x:v>
      </x:c>
      <x:c r="N6" s="18" t="str">
        <x:v>Proposed</x:v>
      </x:c>
      <x:c r="O6" s="18" t="str">
        <x:v>20% need + 20% risk + 20% TCO + 15% ops + 10% payment + 15% support</x:v>
      </x:c>
    </x:row>
    <x:row r="7">
      <x:c r="A7" s="18" t="str">
        <x:v>4</x:v>
      </x:c>
      <x:c r="B7" s="18" t="n">
        <x:f>IF(IF($B$15&lt;=33,"LOW",IF($B$15&lt;=66,"MEDIUM","HIGH"))="HIGH",100,70)</x:f>
        <x:v>100</x:v>
      </x:c>
      <x:c r="C7" s="18" t="n">
        <x:f>IF(IF($B$16&lt;=33,"LOW",IF($B$16&lt;=66,"MEDIUM","HIGH"))="HIGH",100,70)</x:f>
        <x:v>100</x:v>
      </x:c>
      <x:c r="D7" s="18" t="n">
        <x:f>IF($B$19&lt;=$B$20,100,IF(OR(A7="5",A7="6",A7="7"),70,40))</x:f>
        <x:v>40</x:v>
      </x:c>
      <x:c r="E7" s="18" t="n">
        <x:v>90</x:v>
      </x:c>
      <x:c r="F7" s="18" t="n">
        <x:v>90</x:v>
      </x:c>
      <x:c r="G7" s="18" t="n">
        <x:f>IF(A7="5",IF(Questionnaire!I13&gt;=4,100,70),IF(OR(A7="3",A7="4",A7="4a/4b",A7="6"),80,70))</x:f>
        <x:v>80</x:v>
      </x:c>
      <x:c r="H7" s="18" t="n">
        <x:f>B7*$E$15+C7*$E$16+D7*$E$17+E7*$E$18+F7*$E$19+G7*$E$20</x:f>
        <x:v>82.5</x:v>
      </x:c>
      <x:c r="I7" s="18" t="n">
        <x:f>RANK(H7,$H$4:$H$11,0)</x:f>
        <x:v>5</x:v>
      </x:c>
      <x:c r="J7" s="18" t="str">
        <x:f>IF(I7=1,"PRIMARY",IF(I7=2,"ALTERNATIVE",""))</x:f>
      </x:c>
      <x:c r="K7" s="18" t="str">
        <x:v>Charging CAPEX + lease</x:v>
      </x:c>
      <x:c r="L7" s="18" t="str">
        <x:v>Lease + charging</x:v>
      </x:c>
      <x:c r="M7" s="18" t="str">
        <x:v>Yes</x:v>
      </x:c>
      <x:c r="N7" s="18" t="str">
        <x:v>Proposed</x:v>
      </x:c>
      <x:c r="O7" s="18" t="str">
        <x:v>20% need + 20% risk + 20% TCO + 15% ops + 10% payment + 15% support</x:v>
      </x:c>
    </x:row>
    <x:row r="8">
      <x:c r="A8" s="18" t="str">
        <x:v>4a/4b</x:v>
      </x:c>
      <x:c r="B8" s="18" t="n">
        <x:f>IF(IF($B$15&lt;=33,"LOW",IF($B$15&lt;=66,"MEDIUM","HIGH"))="HIGH",100,70)</x:f>
        <x:v>100</x:v>
      </x:c>
      <x:c r="C8" s="18" t="n">
        <x:f>IF(IF($B$16&lt;=33,"LOW",IF($B$16&lt;=66,"MEDIUM","HIGH"))="HIGH",100,70)</x:f>
        <x:v>100</x:v>
      </x:c>
      <x:c r="D8" s="18" t="n">
        <x:f>IF($B$19&lt;=$B$20,100,IF(OR(A8="5",A8="6",A8="7"),70,40))</x:f>
        <x:v>40</x:v>
      </x:c>
      <x:c r="E8" s="18" t="n">
        <x:v>95</x:v>
      </x:c>
      <x:c r="F8" s="18" t="n">
        <x:v>95</x:v>
      </x:c>
      <x:c r="G8" s="18" t="n">
        <x:f>IF(A8="5",IF(Questionnaire!I13&gt;=4,100,70),IF(OR(A8="3",A8="4",A8="4a/4b",A8="6"),80,70))</x:f>
        <x:v>80</x:v>
      </x:c>
      <x:c r="H8" s="18" t="n">
        <x:f>B8*$E$15+C8*$E$16+D8*$E$17+E8*$E$18+F8*$E$19+G8*$E$20</x:f>
        <x:v>83.75</x:v>
      </x:c>
      <x:c r="I8" s="18" t="n">
        <x:f>RANK(H8,$H$4:$H$11,0)</x:f>
        <x:v>4</x:v>
      </x:c>
      <x:c r="J8" s="18" t="str">
        <x:f>IF(I8=1,"PRIMARY",IF(I8=2,"ALTERNATIVE",""))</x:f>
      </x:c>
      <x:c r="K8" s="18" t="str">
        <x:v>Battery risk separation</x:v>
      </x:c>
      <x:c r="L8" s="18" t="str">
        <x:v>Vehicle finance + BaaS</x:v>
      </x:c>
      <x:c r="M8" s="18" t="str">
        <x:v>Yes</x:v>
      </x:c>
      <x:c r="N8" s="18" t="str">
        <x:v>Proposed</x:v>
      </x:c>
      <x:c r="O8" s="18" t="str">
        <x:v>20% need + 20% risk + 20% TCO + 15% ops + 10% payment + 15% support</x:v>
      </x:c>
    </x:row>
    <x:row r="9">
      <x:c r="A9" s="18" t="str">
        <x:v>5</x:v>
      </x:c>
      <x:c r="B9" s="18" t="n">
        <x:f>IF(IF($B$15&lt;=33,"LOW",IF($B$15&lt;=66,"MEDIUM","HIGH"))="HIGH",100,70)</x:f>
        <x:v>100</x:v>
      </x:c>
      <x:c r="C9" s="18" t="n">
        <x:f>IF(IF($B$16&lt;=33,"LOW",IF($B$16&lt;=66,"MEDIUM","HIGH"))="HIGH",100,70)</x:f>
        <x:v>100</x:v>
      </x:c>
      <x:c r="D9" s="18" t="n">
        <x:f>IF($B$19&lt;=$B$20,100,IF(OR(A9="5",A9="6",A9="7"),70,40))</x:f>
        <x:v>70</x:v>
      </x:c>
      <x:c r="E9" s="18" t="n">
        <x:v>95</x:v>
      </x:c>
      <x:c r="F9" s="18" t="n">
        <x:v>90</x:v>
      </x:c>
      <x:c r="G9" s="18" t="n">
        <x:f>IF(A9="5",IF(Questionnaire!I13&gt;=4,100,70),IF(OR(A9="3",A9="4",A9="4a/4b",A9="6"),80,70))</x:f>
        <x:v>100</x:v>
      </x:c>
      <x:c r="H9" s="18" t="n">
        <x:f>B9*$E$15+C9*$E$16+D9*$E$17+E9*$E$18+F9*$E$19+G9*$E$20</x:f>
        <x:v>92.25</x:v>
      </x:c>
      <x:c r="I9" s="18" t="n">
        <x:f>RANK(H9,$H$4:$H$11,0)</x:f>
        <x:v>1</x:v>
      </x:c>
      <x:c r="J9" s="18" t="str">
        <x:f>IF(I9=1,"PRIMARY",IF(I9=2,"ALTERNATIVE",""))</x:f>
        <x:v>PRIMARY</x:v>
      </x:c>
      <x:c r="K9" s="18" t="str">
        <x:v>Economic / financing gap</x:v>
      </x:c>
      <x:c r="L9" s="18" t="str">
        <x:v>Blended finance / VGF</x:v>
      </x:c>
      <x:c r="M9" s="18" t="str">
        <x:v>Yes</x:v>
      </x:c>
      <x:c r="N9" s="18" t="str">
        <x:v>Proposed</x:v>
      </x:c>
      <x:c r="O9" s="18" t="str">
        <x:v>20% need + 20% risk + 20% TCO + 15% ops + 10% payment + 15% support</x:v>
      </x:c>
    </x:row>
    <x:row r="10">
      <x:c r="A10" s="18" t="str">
        <x:v>6</x:v>
      </x:c>
      <x:c r="B10" s="18" t="n">
        <x:f>IF(IF($B$15&lt;=33,"LOW",IF($B$15&lt;=66,"MEDIUM","HIGH"))="HIGH",100,70)</x:f>
        <x:v>100</x:v>
      </x:c>
      <x:c r="C10" s="18" t="n">
        <x:f>IF(IF($B$16&lt;=33,"LOW",IF($B$16&lt;=66,"MEDIUM","HIGH"))="HIGH",100,70)</x:f>
        <x:v>100</x:v>
      </x:c>
      <x:c r="D10" s="18" t="n">
        <x:f>IF($B$19&lt;=$B$20,100,IF(OR(A10="5",A10="6",A10="7"),70,40))</x:f>
        <x:v>70</x:v>
      </x:c>
      <x:c r="E10" s="18" t="n">
        <x:v>90</x:v>
      </x:c>
      <x:c r="F10" s="18" t="n">
        <x:v>95</x:v>
      </x:c>
      <x:c r="G10" s="18" t="n">
        <x:f>IF(A10="5",IF(Questionnaire!I13&gt;=4,100,70),IF(OR(A10="3",A10="4",A10="4a/4b",A10="6"),80,70))</x:f>
        <x:v>80</x:v>
      </x:c>
      <x:c r="H10" s="18" t="n">
        <x:f>B10*$E$15+C10*$E$16+D10*$E$17+E10*$E$18+F10*$E$19+G10*$E$20</x:f>
        <x:v>89</x:v>
      </x:c>
      <x:c r="I10" s="18" t="n">
        <x:f>RANK(H10,$H$4:$H$11,0)</x:f>
        <x:v>2</x:v>
      </x:c>
      <x:c r="J10" s="18" t="str">
        <x:f>IF(I10=1,"PRIMARY",IF(I10=2,"ALTERNATIVE",""))</x:f>
        <x:v>ALTERNATIVE</x:v>
      </x:c>
      <x:c r="K10" s="18" t="str">
        <x:v>Usage/performance payment</x:v>
      </x:c>
      <x:c r="L10" s="18" t="str">
        <x:v>FaaS / VaaS</x:v>
      </x:c>
      <x:c r="M10" s="18" t="str">
        <x:v>Yes</x:v>
      </x:c>
      <x:c r="N10" s="18" t="str">
        <x:v>Proposed</x:v>
      </x:c>
      <x:c r="O10" s="18" t="str">
        <x:v>20% need + 20% risk + 20% TCO + 15% ops + 10% payment + 15% support</x:v>
      </x:c>
    </x:row>
    <x:row r="11">
      <x:c r="A11" s="18" t="str">
        <x:v>7</x:v>
      </x:c>
      <x:c r="B11" s="18" t="n">
        <x:f>IF(IF($B$15&lt;=33,"LOW",IF($B$15&lt;=66,"MEDIUM","HIGH"))="HIGH",100,70)</x:f>
        <x:v>100</x:v>
      </x:c>
      <x:c r="C11" s="18" t="n">
        <x:f>IF(IF($B$16&lt;=33,"LOW",IF($B$16&lt;=66,"MEDIUM","HIGH"))="HIGH",100,70)</x:f>
        <x:v>100</x:v>
      </x:c>
      <x:c r="D11" s="18" t="n">
        <x:f>IF($B$19&lt;=$B$20,100,IF(OR(A11="5",A11="6",A11="7"),70,40))</x:f>
        <x:v>70</x:v>
      </x:c>
      <x:c r="E11" s="18" t="n">
        <x:v>85</x:v>
      </x:c>
      <x:c r="F11" s="18" t="n">
        <x:v>95</x:v>
      </x:c>
      <x:c r="G11" s="18" t="n">
        <x:f>IF(A11="5",IF(Questionnaire!I13&gt;=4,100,70),IF(OR(A11="3",A11="4",A11="4a/4b",A11="6"),80,70))</x:f>
        <x:v>70</x:v>
      </x:c>
      <x:c r="H11" s="18" t="n">
        <x:f>B11*$E$15+C11*$E$16+D11*$E$17+E11*$E$18+F11*$E$19+G11*$E$20</x:f>
        <x:v>86.75</x:v>
      </x:c>
      <x:c r="I11" s="18" t="n">
        <x:f>RANK(H11,$H$4:$H$11,0)</x:f>
        <x:v>3</x:v>
      </x:c>
      <x:c r="J11" s="18" t="str">
        <x:f>IF(I11=1,"PRIMARY",IF(I11=2,"ALTERNATIVE",""))</x:f>
      </x:c>
      <x:c r="K11" s="18" t="str">
        <x:v>Full-service outsourcing</x:v>
      </x:c>
      <x:c r="L11" s="18" t="str">
        <x:v>Total outsourcing</x:v>
      </x:c>
      <x:c r="M11" s="18" t="str">
        <x:v>Yes</x:v>
      </x:c>
      <x:c r="N11" s="18" t="str">
        <x:v>Proposed</x:v>
      </x:c>
      <x:c r="O11" s="18" t="str">
        <x:v>20% need + 20% risk + 20% TCO + 15% ops + 10% payment + 15% support</x:v>
      </x:c>
    </x:row>
    <x:row r="12">
      <x:c r="A12" s="18"/>
      <x:c r="B12" s="18"/>
      <x:c r="C12" s="18"/>
      <x:c r="D12" s="18"/>
      <x:c r="E12" s="18"/>
      <x:c r="F12" s="18"/>
      <x:c r="G12" s="18"/>
      <x:c r="H12" s="18"/>
      <x:c r="I12" s="18"/>
      <x:c r="J12" s="18"/>
      <x:c r="K12" s="18"/>
      <x:c r="L12" s="18"/>
      <x:c r="M12" s="18"/>
      <x:c r="N12" s="18"/>
      <x:c r="O12" s="18"/>
    </x:row>
    <x:row r="13">
      <x:c r="A13" s="18"/>
      <x:c r="B13" s="18"/>
      <x:c r="C13" s="18"/>
      <x:c r="D13" s="18"/>
      <x:c r="E13" s="18"/>
      <x:c r="F13" s="18"/>
      <x:c r="G13" s="18"/>
      <x:c r="H13" s="18"/>
      <x:c r="I13" s="18"/>
      <x:c r="J13" s="18"/>
      <x:c r="K13" s="18"/>
      <x:c r="L13" s="18"/>
      <x:c r="M13" s="18"/>
      <x:c r="N13" s="18"/>
      <x:c r="O13" s="18"/>
    </x:row>
    <x:row r="14">
      <x:c r="A14" s="12" t="str">
        <x:v>Current Case</x:v>
      </x:c>
      <x:c r="B14" s="12" t="str">
        <x:v>Value</x:v>
      </x:c>
      <x:c r="C14" s="18"/>
      <x:c r="D14" s="12" t="str">
        <x:v>Fit dimension</x:v>
      </x:c>
      <x:c r="E14" s="12" t="str">
        <x:v>Weight</x:v>
      </x:c>
      <x:c r="F14" s="18"/>
      <x:c r="G14" s="18"/>
      <x:c r="H14" s="18"/>
      <x:c r="I14" s="18"/>
      <x:c r="J14" s="18"/>
      <x:c r="K14" s="18"/>
      <x:c r="L14" s="18"/>
      <x:c r="M14" s="18"/>
      <x:c r="N14" s="18"/>
      <x:c r="O14" s="18"/>
    </x:row>
    <x:row r="15">
      <x:c r="A15" s="18" t="str">
        <x:v>Financing Need Index</x:v>
      </x:c>
      <x:c r="B15" s="18" t="n">
        <x:f>Scoring!B10</x:f>
        <x:v>93.75</x:v>
      </x:c>
      <x:c r="C15" s="18"/>
      <x:c r="D15" s="18" t="str">
        <x:v>Need</x:v>
      </x:c>
      <x:c r="E15" s="32" t="n">
        <x:v>0.2</x:v>
      </x:c>
      <x:c r="F15" s="18"/>
      <x:c r="G15" s="18"/>
      <x:c r="H15" s="18"/>
      <x:c r="I15" s="18"/>
      <x:c r="J15" s="18"/>
      <x:c r="K15" s="18"/>
      <x:c r="L15" s="18"/>
      <x:c r="M15" s="18"/>
      <x:c r="N15" s="18"/>
      <x:c r="O15" s="18"/>
    </x:row>
    <x:row r="16">
      <x:c r="A16" s="18" t="str">
        <x:v>Risk Profile Index</x:v>
      </x:c>
      <x:c r="B16" s="18" t="n">
        <x:f>Scoring!B23</x:f>
        <x:v>95</x:v>
      </x:c>
      <x:c r="C16" s="18"/>
      <x:c r="D16" s="18" t="str">
        <x:v>Risk</x:v>
      </x:c>
      <x:c r="E16" s="32" t="n">
        <x:v>0.2</x:v>
      </x:c>
      <x:c r="F16" s="18"/>
      <x:c r="G16" s="18"/>
      <x:c r="H16" s="18"/>
      <x:c r="I16" s="18"/>
      <x:c r="J16" s="18"/>
      <x:c r="K16" s="18"/>
      <x:c r="L16" s="18"/>
      <x:c r="M16" s="18"/>
      <x:c r="N16" s="18"/>
      <x:c r="O16" s="18"/>
    </x:row>
    <x:row r="17">
      <x:c r="A17" s="18" t="str">
        <x:v>Consumer Readiness</x:v>
      </x:c>
      <x:c r="B17" s="18" t="n">
        <x:v>57</x:v>
      </x:c>
      <x:c r="C17" s="18"/>
      <x:c r="D17" s="18" t="str">
        <x:v>TCO</x:v>
      </x:c>
      <x:c r="E17" s="32" t="n">
        <x:v>0.2</x:v>
      </x:c>
      <x:c r="F17" s="18"/>
      <x:c r="G17" s="18"/>
      <x:c r="H17" s="18"/>
      <x:c r="I17" s="18"/>
      <x:c r="J17" s="18"/>
      <x:c r="K17" s="18"/>
      <x:c r="L17" s="18"/>
      <x:c r="M17" s="18"/>
      <x:c r="N17" s="18"/>
      <x:c r="O17" s="18"/>
    </x:row>
    <x:row r="18">
      <x:c r="A18" s="18" t="str">
        <x:v>City CRI</x:v>
      </x:c>
      <x:c r="B18" s="18" t="n">
        <x:f>'CRI Context'!G4</x:f>
        <x:v>40.4</x:v>
      </x:c>
      <x:c r="C18" s="18"/>
      <x:c r="D18" s="18" t="str">
        <x:v>Operational</x:v>
      </x:c>
      <x:c r="E18" s="32" t="n">
        <x:v>0.15</x:v>
      </x:c>
      <x:c r="F18" s="18"/>
      <x:c r="G18" s="18"/>
      <x:c r="H18" s="18"/>
      <x:c r="I18" s="18"/>
      <x:c r="J18" s="18"/>
      <x:c r="K18" s="18"/>
      <x:c r="L18" s="18"/>
      <x:c r="M18" s="18"/>
      <x:c r="N18" s="18"/>
      <x:c r="O18" s="18"/>
    </x:row>
    <x:row r="19">
      <x:c r="A19" s="18" t="str">
        <x:v>EV Cost/km</x:v>
      </x:c>
      <x:c r="B19" s="18" t="n">
        <x:f>TCO!C24</x:f>
        <x:v>3565</x:v>
      </x:c>
      <x:c r="C19" s="18"/>
      <x:c r="D19" s="18" t="str">
        <x:v>Payment</x:v>
      </x:c>
      <x:c r="E19" s="32" t="n">
        <x:v>0.1</x:v>
      </x:c>
      <x:c r="F19" s="18"/>
      <x:c r="G19" s="18"/>
      <x:c r="H19" s="18"/>
      <x:c r="I19" s="18"/>
      <x:c r="J19" s="18"/>
      <x:c r="K19" s="18"/>
      <x:c r="L19" s="18"/>
      <x:c r="M19" s="18"/>
      <x:c r="N19" s="18"/>
      <x:c r="O19" s="18"/>
    </x:row>
    <x:row r="20">
      <x:c r="A20" s="18" t="str">
        <x:v>Diesel Cost/km</x:v>
      </x:c>
      <x:c r="B20" s="18" t="n">
        <x:f>TCO!B24</x:f>
        <x:v>3181</x:v>
      </x:c>
      <x:c r="C20" s="18"/>
      <x:c r="D20" s="18" t="str">
        <x:v>Support/SF</x:v>
      </x:c>
      <x:c r="E20" s="32" t="n">
        <x:v>0.15</x:v>
      </x:c>
      <x:c r="F20" s="18"/>
      <x:c r="G20" s="18"/>
      <x:c r="H20" s="18"/>
      <x:c r="I20" s="18"/>
      <x:c r="J20" s="18"/>
      <x:c r="K20" s="18"/>
      <x:c r="L20" s="18"/>
      <x:c r="M20" s="18"/>
      <x:c r="N20" s="18"/>
      <x:c r="O20" s="18"/>
    </x:row>
    <x:row r="21">
      <x:c r="A21" s="18" t="str">
        <x:v>Operating Saving</x:v>
      </x:c>
      <x:c r="B21" s="18" t="n">
        <x:f>TCO!C26</x:f>
        <x:v>0.4067796610169491</x:v>
      </x:c>
      <x:c r="C21" s="18"/>
      <x:c r="D21" s="18"/>
      <x:c r="E21" s="18"/>
      <x:c r="F21" s="18"/>
      <x:c r="G21" s="18"/>
      <x:c r="H21" s="18"/>
      <x:c r="I21" s="18"/>
      <x:c r="J21" s="18"/>
      <x:c r="K21" s="18"/>
      <x:c r="L21" s="18"/>
      <x:c r="M21" s="18"/>
      <x:c r="N21" s="18"/>
      <x:c r="O21" s="18"/>
    </x:row>
    <x:row r="22">
      <x:c r="A22" s="18" t="str">
        <x:v>Payback</x:v>
      </x:c>
      <x:c r="B22" s="18" t="n">
        <x:f>TCO!C29</x:f>
        <x:v>6.127450980392157</x:v>
      </x:c>
      <x:c r="C22" s="18"/>
      <x:c r="D22" s="18"/>
      <x:c r="E22" s="18"/>
      <x:c r="F22" s="18"/>
      <x:c r="G22" s="18"/>
      <x:c r="H22" s="18"/>
      <x:c r="I22" s="18"/>
      <x:c r="J22" s="18"/>
      <x:c r="K22" s="18"/>
      <x:c r="L22" s="18"/>
      <x:c r="M22" s="18"/>
      <x:c r="N22" s="18"/>
      <x:c r="O22" s="18"/>
    </x:row>
  </x:sheetData>
  <x:mergeCells>
    <x:mergeCell ref="A1:O1"/>
  </x:mergeCells>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30" hidden="0" customWidth="1"/>
    <x:col min="3" max="3" width="4" hidden="0" customWidth="1"/>
    <x:col min="4" max="4" width="18" hidden="0" customWidth="1"/>
    <x:col min="5" max="5" width="18" hidden="0" customWidth="1"/>
    <x:col min="6" max="6" width="4" hidden="0" customWidth="1"/>
    <x:col min="7" max="7" width="18" hidden="0" customWidth="1"/>
    <x:col min="8" max="8" width="18" hidden="0" customWidth="1"/>
    <x:col min="9" max="9" width="18" hidden="0" customWidth="1"/>
    <x:col min="10" max="10" width="18" hidden="0" customWidth="1"/>
  </x:cols>
  <x:sheetData>
    <x:row r="1">
      <x:c r="A1" s="4" t="str">
        <x:v>FINANCING PLAYBOOK DASHBOARD</x:v>
      </x:c>
    </x:row>
    <x:row r="3">
      <x:c r="A3" s="12" t="str">
        <x:v>Indicator</x:v>
      </x:c>
      <x:c r="B3" s="12" t="str">
        <x:v>Result</x:v>
      </x:c>
      <x:c r="D3" s="12" t="str">
        <x:v>Scheme</x:v>
      </x:c>
      <x:c r="E3" s="12" t="str">
        <x:v>Fit Score</x:v>
      </x:c>
    </x:row>
    <x:row r="4">
      <x:c r="A4" t="str">
        <x:v>Consumer Readiness</x:v>
      </x:c>
      <x:c r="B4" t="n">
        <x:f>'Scheme Match'!B17</x:f>
        <x:v>57</x:v>
      </x:c>
      <x:c r="D4" t="str">
        <x:v>Scheme 1</x:v>
      </x:c>
      <x:c r="E4" t="n">
        <x:f>'Scheme Match'!H4</x:f>
        <x:v>63.5</x:v>
      </x:c>
    </x:row>
    <x:row r="5">
      <x:c r="A5" t="str">
        <x:v>City CRI</x:v>
      </x:c>
      <x:c r="B5" t="n">
        <x:f>'Scheme Match'!B18</x:f>
        <x:v>40.4</x:v>
      </x:c>
      <x:c r="D5" t="str">
        <x:v>Scheme 2</x:v>
      </x:c>
      <x:c r="E5" t="n">
        <x:f>'Scheme Match'!H5</x:f>
        <x:v>63</x:v>
      </x:c>
    </x:row>
    <x:row r="6">
      <x:c r="A6" t="str">
        <x:v>Economic Readiness</x:v>
      </x:c>
      <x:c r="B6" t="n">
        <x:f>'Economic Readiness'!B7</x:f>
        <x:v>64.17832442628105</x:v>
      </x:c>
      <x:c r="D6" t="str">
        <x:v>Scheme 3</x:v>
      </x:c>
      <x:c r="E6" t="n">
        <x:f>'Scheme Match'!H6</x:f>
        <x:v>75.25</x:v>
      </x:c>
    </x:row>
    <x:row r="7">
      <x:c r="A7" t="str">
        <x:v>Financing Need Index</x:v>
      </x:c>
      <x:c r="B7" t="n">
        <x:f>'Scoring'!B10</x:f>
        <x:v>93.75</x:v>
      </x:c>
      <x:c r="D7" t="str">
        <x:v>Scheme 4</x:v>
      </x:c>
      <x:c r="E7" t="n">
        <x:f>'Scheme Match'!H7</x:f>
        <x:v>82.5</x:v>
      </x:c>
    </x:row>
    <x:row r="8">
      <x:c r="A8" t="str">
        <x:v>Risk Profile Index</x:v>
      </x:c>
      <x:c r="B8" t="n">
        <x:f>'Scoring'!B23</x:f>
        <x:v>95</x:v>
      </x:c>
      <x:c r="D8" t="str">
        <x:v>Scheme 4a/4b</x:v>
      </x:c>
      <x:c r="E8" t="n">
        <x:f>'Scheme Match'!H8</x:f>
        <x:v>83.75</x:v>
      </x:c>
    </x:row>
    <x:row r="9">
      <x:c r="A9" t="str">
        <x:v>EV Cost/km</x:v>
      </x:c>
      <x:c r="B9" t="n">
        <x:f>'TCO'!C24</x:f>
        <x:v>3565</x:v>
      </x:c>
      <x:c r="D9" t="str">
        <x:v>Scheme 5</x:v>
      </x:c>
      <x:c r="E9" t="n">
        <x:f>'Scheme Match'!H9</x:f>
        <x:v>92.25</x:v>
      </x:c>
    </x:row>
    <x:row r="10">
      <x:c r="A10" t="str">
        <x:v>Diesel Cost/km</x:v>
      </x:c>
      <x:c r="B10" t="n">
        <x:f>'TCO'!B24</x:f>
        <x:v>3181</x:v>
      </x:c>
      <x:c r="D10" t="str">
        <x:v>Scheme 6</x:v>
      </x:c>
      <x:c r="E10" t="n">
        <x:f>'Scheme Match'!H10</x:f>
        <x:v>89</x:v>
      </x:c>
    </x:row>
    <x:row r="11">
      <x:c r="A11" t="str">
        <x:v>Operating Saving</x:v>
      </x:c>
      <x:c r="B11" t="n">
        <x:f>'TCO'!C26</x:f>
        <x:v>0.4067796610169491</x:v>
      </x:c>
      <x:c r="D11" t="str">
        <x:v>Scheme 7</x:v>
      </x:c>
      <x:c r="E11" t="n">
        <x:f>'Scheme Match'!H11</x:f>
        <x:v>86.75</x:v>
      </x:c>
    </x:row>
    <x:row r="13">
      <x:c r="A13" t="str">
        <x:v>Primary Scheme</x:v>
      </x:c>
      <x:c r="B13" t="str">
        <x:f>INDEX(D4:D11,MATCH(MAX(E4:E11),E4:E11,0))</x:f>
        <x:v>Scheme 5</x:v>
      </x:c>
    </x:row>
    <x:row r="14">
      <x:c r="A14" t="str">
        <x:v>Alternative</x:v>
      </x:c>
      <x:c r="B14" t="str">
        <x:f>INDEX(D4:D11,MATCH(LARGE(E4:E11,2),E4:E11,0))</x:f>
        <x:v>Scheme 6</x:v>
      </x:c>
    </x:row>
    <x:row r="15">
      <x:c r="A15" t="str">
        <x:v>Recommended Structure</x:v>
      </x:c>
      <x:c r="B15" t="str">
        <x:f>IF(B13="Scheme 1","Conventional ownership / green loan",IF(B13="Scheme 2","Conversion / recycle support",IF(B13="Scheme 3","EV leasing / rent",IF(B13="Scheme 4","Lease + charging",IF(B13="Scheme 4a/4b","Vehicle financing + BaaS",IF(B13="Scheme 5","Blended finance / VGF",IF(B13="Scheme 6","FaaS / performance-based","Total outsourcing")))))))</x:f>
        <x:v>Blended finance / VGF</x:v>
      </x:c>
    </x:row>
  </x:sheetData>
  <x:mergeCells>
    <x:mergeCell ref="A1:N1"/>
    <x:mergeCell ref="B15:J15"/>
  </x:mergeCells>
  <x:pageMargins left="0.7" right="0.7" top="0.75" bottom="0.75" header="0.3" footer="0.3"/>
  <x:drawing xmlns:r="http://schemas.openxmlformats.org/officeDocument/2006/relationships" r:id="R658470192f904bf0"/>
</x:worksheet>
</file>

<file path=xl/worksheets/sheet10.xml><?xml version="1.0" encoding="utf-8"?>
<x:worksheet xmlns:x="http://schemas.openxmlformats.org/spreadsheetml/2006/main">
  <x:sheetFormatPr defaultRowHeight="15"/>
  <x:cols>
    <x:col min="1" max="1" width="24" hidden="0" customWidth="1"/>
    <x:col min="2" max="2" width="28" hidden="0" customWidth="1"/>
    <x:col min="3" max="3" width="44" hidden="0" customWidth="1"/>
    <x:col min="4" max="4" width="28" hidden="0" customWidth="1"/>
    <x:col min="5" max="5" width="36" hidden="0" customWidth="1"/>
    <x:col min="6" max="6" width="34" hidden="0" customWidth="1"/>
    <x:col min="7" max="7" width="34" hidden="0" customWidth="1"/>
    <x:col min="8" max="8" width="48" hidden="0" customWidth="1"/>
  </x:cols>
  <x:sheetData>
    <x:row r="1">
      <x:c r="A1" s="4" t="str">
        <x:v>FINANCING PLAYBOOK – FINAL OUTPUT TEMPLATE</x:v>
      </x:c>
    </x:row>
    <x:row r="3">
      <x:c r="A3" s="18" t="str">
        <x:v>Section</x:v>
      </x:c>
      <x:c r="B3" s="18" t="str">
        <x:v>Metric</x:v>
      </x:c>
      <x:c r="C3" s="18" t="str">
        <x:v>Output</x:v>
      </x:c>
      <x:c r="D3" s="18" t="str">
        <x:v>Source</x:v>
      </x:c>
      <x:c r="E3" s="18" t="str">
        <x:v>Decision use</x:v>
      </x:c>
      <x:c r="F3" s="18" t="str">
        <x:v>Risk allocation</x:v>
      </x:c>
      <x:c r="G3" s="18" t="str">
        <x:v>Support</x:v>
      </x:c>
      <x:c r="H3" s="18" t="str">
        <x:v>Condition</x:v>
      </x:c>
    </x:row>
    <x:row r="4">
      <x:c r="A4" s="18" t="str">
        <x:v>Market / Demand</x:v>
      </x:c>
      <x:c r="B4" s="18" t="str">
        <x:v>Consumer Readiness</x:v>
      </x:c>
      <x:c r="C4" s="18" t="n">
        <x:f>'Dashboard'!B4</x:f>
        <x:v>57</x:v>
      </x:c>
      <x:c r="D4" s="18" t="str">
        <x:v>Bu Andani</x:v>
      </x:c>
      <x:c r="E4" s="18" t="str">
        <x:v>Demand signal</x:v>
      </x:c>
      <x:c r="F4" s="18" t="str"/>
      <x:c r="G4" s="18" t="str"/>
      <x:c r="H4" s="18" t="str"/>
    </x:row>
    <x:row r="5">
      <x:c r="A5" s="18" t="str">
        <x:v>City / Ecosystem</x:v>
      </x:c>
      <x:c r="B5" s="18" t="str">
        <x:v>City CRI</x:v>
      </x:c>
      <x:c r="C5" s="18" t="n">
        <x:f>'Dashboard'!B5</x:f>
        <x:v>40.4</x:v>
      </x:c>
      <x:c r="D5" s="18" t="str">
        <x:v>Pak Tilaka</x:v>
      </x:c>
      <x:c r="E5" s="18" t="str">
        <x:v>Market context</x:v>
      </x:c>
      <x:c r="F5" s="18" t="str"/>
      <x:c r="G5" s="18" t="str"/>
      <x:c r="H5" s="18" t="str"/>
    </x:row>
    <x:row r="6">
      <x:c r="A6" s="18" t="str">
        <x:v>Project Economics</x:v>
      </x:c>
      <x:c r="B6" s="18" t="str">
        <x:v>TCO</x:v>
      </x:c>
      <x:c r="C6" s="18" t="str">
        <x:f>"EV Cost/km "&amp;TEXT(TCO!C24,"#,##0")&amp;"; saving "&amp;TEXT(TCO!C26,"0.0%")&amp;"; payback "&amp;TEXT(TCO!C29,"0.0")&amp;" yrs"</x:f>
        <x:v>EV Cost/km 3,565; saving 40.7%; payback 6.1 yrs</x:v>
      </x:c>
      <x:c r="D6" s="18" t="str">
        <x:v>TCO</x:v>
      </x:c>
      <x:c r="E6" s="18" t="str">
        <x:v>Economic case</x:v>
      </x:c>
      <x:c r="F6" s="18" t="str"/>
      <x:c r="G6" s="18" t="str"/>
      <x:c r="H6" s="18" t="str"/>
    </x:row>
    <x:row r="7">
      <x:c r="A7" s="18" t="str">
        <x:v>Financing Need</x:v>
      </x:c>
      <x:c r="B7" s="18" t="str">
        <x:v>Financing Need Index</x:v>
      </x:c>
      <x:c r="C7" s="18" t="str">
        <x:f>"Need index "&amp;TEXT(Scoring!B10,"0.0")</x:f>
        <x:v>Need index 93.8</x:v>
      </x:c>
      <x:c r="D7" s="18" t="str">
        <x:v>Scoring</x:v>
      </x:c>
      <x:c r="E7" s="18" t="str">
        <x:v>Funding need</x:v>
      </x:c>
      <x:c r="F7" s="18" t="str"/>
      <x:c r="G7" s="18" t="str"/>
      <x:c r="H7" s="18" t="str"/>
    </x:row>
    <x:row r="8">
      <x:c r="A8" s="18" t="str">
        <x:v>Risk Profile</x:v>
      </x:c>
      <x:c r="B8" s="18" t="str">
        <x:v>Risk Profile Index</x:v>
      </x:c>
      <x:c r="C8" s="18" t="str">
        <x:f>"Risk index "&amp;TEXT(Scoring!B23,"0.0")</x:f>
        <x:v>Risk index 95.0</x:v>
      </x:c>
      <x:c r="D8" s="18" t="str">
        <x:v>Scoring</x:v>
      </x:c>
      <x:c r="E8" s="18" t="str">
        <x:v>Risk transfer</x:v>
      </x:c>
      <x:c r="F8" s="18" t="str"/>
      <x:c r="G8" s="18" t="str"/>
      <x:c r="H8" s="18" t="str"/>
    </x:row>
    <x:row r="9">
      <x:c r="A9" s="18" t="str">
        <x:v>Operations</x:v>
      </x:c>
      <x:c r="B9" s="18" t="str">
        <x:v>Vehicle / route / use case</x:v>
      </x:c>
      <x:c r="C9" s="18" t="str"/>
      <x:c r="D9" s="18" t="str">
        <x:v>Questionnaire</x:v>
      </x:c>
      <x:c r="E9" s="18" t="str">
        <x:v>Operational fit</x:v>
      </x:c>
      <x:c r="F9" s="18" t="str"/>
      <x:c r="G9" s="18" t="str"/>
      <x:c r="H9" s="18" t="str"/>
    </x:row>
    <x:row r="10">
      <x:c r="A10" s="18" t="str">
        <x:v>Sustainable Finance</x:v>
      </x:c>
      <x:c r="B10" s="18" t="str">
        <x:v>Support profile</x:v>
      </x:c>
      <x:c r="C10" s="18" t="str"/>
      <x:c r="D10" s="18" t="str">
        <x:v>Questionnaire</x:v>
      </x:c>
      <x:c r="E10" s="18" t="str">
        <x:v>Green finance channel</x:v>
      </x:c>
      <x:c r="F10" s="18" t="str"/>
      <x:c r="G10" s="18" t="str"/>
      <x:c r="H10" s="18" t="str"/>
    </x:row>
    <x:row r="11">
      <x:c r="A11" s="18" t="str">
        <x:v>Scheme Matching</x:v>
      </x:c>
      <x:c r="B11" s="18" t="str">
        <x:v>Primary + alternative</x:v>
      </x:c>
      <x:c r="C11" s="18" t="str">
        <x:f>'Dashboard'!B13</x:f>
        <x:v>Scheme 5</x:v>
      </x:c>
      <x:c r="D11" s="18" t="str">
        <x:v>Scheme Match</x:v>
      </x:c>
      <x:c r="E11" s="18" t="str">
        <x:v>Instrument selection</x:v>
      </x:c>
      <x:c r="F11" s="18" t="str"/>
      <x:c r="G11" s="18" t="str"/>
      <x:c r="H11" s="18" t="str"/>
    </x:row>
    <x:row r="12">
      <x:c r="A12" s="18" t="str">
        <x:v>Recommended Structure</x:v>
      </x:c>
      <x:c r="B12" s="18" t="str"/>
      <x:c r="C12" s="18" t="str">
        <x:f>'Dashboard'!B15</x:f>
        <x:v>Blended finance / VGF</x:v>
      </x:c>
      <x:c r="D12" s="18" t="str">
        <x:v>Scheme Match</x:v>
      </x:c>
      <x:c r="E12" s="18" t="str">
        <x:v>Financing architecture</x:v>
      </x:c>
      <x:c r="F12" s="18" t="str"/>
      <x:c r="G12" s="18" t="str"/>
      <x:c r="H12" s="18" t="str"/>
    </x:row>
    <x:row r="13">
      <x:c r="A13" s="18" t="str">
        <x:v>Risk Allocation</x:v>
      </x:c>
      <x:c r="B13" s="18" t="str"/>
      <x:c r="C13" s="18" t="str"/>
      <x:c r="D13" s="18" t="str">
        <x:v>Risk Profile + supply</x:v>
      </x:c>
      <x:c r="E13" s="18" t="str">
        <x:v>Who bears risk?</x:v>
      </x:c>
      <x:c r="F13" s="18" t="str"/>
      <x:c r="G13" s="18" t="str"/>
      <x:c r="H13" s="18" t="str"/>
    </x:row>
    <x:row r="14">
      <x:c r="A14" s="18" t="str">
        <x:v>Government / Public Support</x:v>
      </x:c>
      <x:c r="B14" s="18" t="str"/>
      <x:c r="C14" s="18" t="str"/>
      <x:c r="D14" s="18" t="str">
        <x:v>Questionnaire</x:v>
      </x:c>
      <x:c r="E14" s="18" t="str">
        <x:v>Close gaps</x:v>
      </x:c>
      <x:c r="F14" s="18" t="str"/>
      <x:c r="G14" s="18" t="str"/>
      <x:c r="H14" s="18" t="str"/>
    </x:row>
    <x:row r="15">
      <x:c r="A15" t="str">
        <x:v>Implementation Conditions</x:v>
      </x:c>
      <x:c r="B15" t="str"/>
      <x:c r="C15" t="str"/>
      <x:c r="D15" t="str">
        <x:v>All modules</x:v>
      </x:c>
      <x:c r="E15" t="str">
        <x:v>Execution requirements</x:v>
      </x:c>
      <x:c r="F15" t="str"/>
      <x:c r="G15" t="str"/>
      <x:c r="H15" t="str"/>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46" hidden="0" customWidth="1"/>
    <x:col min="5" max="5" width="44" hidden="0" customWidth="1"/>
    <x:col min="6" max="6" width="30" hidden="0" customWidth="1"/>
  </x:cols>
  <x:sheetData>
    <x:row r="1">
      <x:c r="A1" s="4" t="str">
        <x:v>END-TO-END EXAMPLE – ILLUSTRATIVE COLD-CHAIN CASE</x:v>
      </x:c>
    </x:row>
    <x:row r="3">
      <x:c r="A3" s="18" t="str">
        <x:v>Stage</x:v>
      </x:c>
      <x:c r="B3" s="18" t="str">
        <x:v>Metric</x:v>
      </x:c>
      <x:c r="C3" s="18" t="str">
        <x:v>Illustrative value</x:v>
      </x:c>
      <x:c r="D3" s="18" t="str">
        <x:v>Calculation / source</x:v>
      </x:c>
      <x:c r="E3" s="18" t="str">
        <x:v>Interpretation</x:v>
      </x:c>
      <x:c r="F3" s="18" t="str">
        <x:v>Output</x:v>
      </x:c>
    </x:row>
    <x:row r="4">
      <x:c r="A4" s="18" t="str">
        <x:v>CRI</x:v>
      </x:c>
      <x:c r="B4" s="18" t="str">
        <x:v>Consumer Readiness</x:v>
      </x:c>
      <x:c r="C4" s="18" t="n">
        <x:v>57</x:v>
      </x:c>
      <x:c r="D4" s="18" t="str">
        <x:v>Existing Bu Andani result</x:v>
      </x:c>
      <x:c r="E4" s="18" t="str">
        <x:v>Moderate demand signal</x:v>
      </x:c>
      <x:c r="F4" s="18" t="str">
        <x:v>City context</x:v>
      </x:c>
    </x:row>
    <x:row r="5">
      <x:c r="A5" s="18" t="str">
        <x:v>CRI</x:v>
      </x:c>
      <x:c r="B5" s="18" t="str">
        <x:v>City CRI</x:v>
      </x:c>
      <x:c r="C5" s="18" t="n">
        <x:v>40</x:v>
      </x:c>
      <x:c r="D5" s="18" t="str">
        <x:v>Existing Pak Tilaka context</x:v>
      </x:c>
      <x:c r="E5" s="18" t="str">
        <x:v>Developing ecosystem</x:v>
      </x:c>
      <x:c r="F5" s="18" t="str">
        <x:v>City context</x:v>
      </x:c>
    </x:row>
    <x:row r="6">
      <x:c r="A6" s="18" t="str">
        <x:v>Financing</x:v>
      </x:c>
      <x:c r="B6" s="18" t="str">
        <x:v>Financing Need Index</x:v>
      </x:c>
      <x:c r="C6" s="18" t="n">
        <x:v>80</x:v>
      </x:c>
      <x:c r="D6" s="18" t="str">
        <x:v>FN1–FN4; 25% each; normalized</x:v>
      </x:c>
      <x:c r="E6" s="18" t="str">
        <x:v>High financing need</x:v>
      </x:c>
      <x:c r="F6" s="18" t="str">
        <x:v>Financing Profile</x:v>
      </x:c>
    </x:row>
    <x:row r="7">
      <x:c r="A7" s="18" t="str">
        <x:v>Financing</x:v>
      </x:c>
      <x:c r="B7" s="18" t="str">
        <x:v>Risk Profile Index</x:v>
      </x:c>
      <x:c r="C7" s="18" t="n">
        <x:v>78</x:v>
      </x:c>
      <x:c r="D7" s="18" t="str">
        <x:v>Ownership 50% + Risk Tolerance 50%</x:v>
      </x:c>
      <x:c r="E7" s="18" t="str">
        <x:v>High risk-transfer preference</x:v>
      </x:c>
      <x:c r="F7" s="18" t="str">
        <x:v>Financing Profile</x:v>
      </x:c>
    </x:row>
    <x:row r="8">
      <x:c r="A8" s="18" t="str">
        <x:v>TCO</x:v>
      </x:c>
      <x:c r="B8" s="18" t="str">
        <x:v>EV Cost/km</x:v>
      </x:c>
      <x:c r="C8" s="18" t="n">
        <x:v>3559</x:v>
      </x:c>
      <x:c r="D8" s="18" t="str">
        <x:v>TCO Engine</x:v>
      </x:c>
      <x:c r="E8" s="18" t="str">
        <x:v>Higher than diesel in example</x:v>
      </x:c>
      <x:c r="F8" s="18" t="str">
        <x:v>Economic evidence</x:v>
      </x:c>
    </x:row>
    <x:row r="9">
      <x:c r="A9" s="18" t="str">
        <x:v>TCO</x:v>
      </x:c>
      <x:c r="B9" s="18" t="str">
        <x:v>Diesel Cost/km</x:v>
      </x:c>
      <x:c r="C9" s="18" t="n">
        <x:v>2491</x:v>
      </x:c>
      <x:c r="D9" s="18" t="str">
        <x:v>TCO Engine</x:v>
      </x:c>
      <x:c r="E9" s="18" t="str">
        <x:v>Baseline</x:v>
      </x:c>
      <x:c r="F9" s="18" t="str">
        <x:v>Economic evidence</x:v>
      </x:c>
    </x:row>
    <x:row r="10">
      <x:c r="A10" s="18" t="str">
        <x:v>TCO</x:v>
      </x:c>
      <x:c r="B10" s="18" t="str">
        <x:v>Operating Saving</x:v>
      </x:c>
      <x:c r="C10" s="18" t="n">
        <x:v>0.0985</x:v>
      </x:c>
      <x:c r="D10" s="18" t="str">
        <x:v>(Diesel OPEX − EV OPEX) / Diesel OPEX</x:v>
      </x:c>
      <x:c r="E10" s="18" t="str">
        <x:v>Positive operating saving</x:v>
      </x:c>
      <x:c r="F10" s="18" t="str">
        <x:v>Economic evidence</x:v>
      </x:c>
    </x:row>
    <x:row r="11">
      <x:c r="A11" s="18" t="str">
        <x:v>TCO</x:v>
      </x:c>
      <x:c r="B11" s="18" t="str">
        <x:v>Payback</x:v>
      </x:c>
      <x:c r="C11" s="18" t="n">
        <x:v>8</x:v>
      </x:c>
      <x:c r="D11" s="18" t="str">
        <x:v>Incremental CAPEX / annual saving</x:v>
      </x:c>
      <x:c r="E11" s="18" t="str">
        <x:v>Needs financing support</x:v>
      </x:c>
      <x:c r="F11" s="18" t="str">
        <x:v>Scheme matching</x:v>
      </x:c>
    </x:row>
    <x:row r="12">
      <x:c r="A12" s="18" t="str">
        <x:v>Matching</x:v>
      </x:c>
      <x:c r="B12" s="18" t="str">
        <x:v>Primary</x:v>
      </x:c>
      <x:c r="C12" s="18" t="str">
        <x:v>Scheme 5 – Blended Finance / VGF</x:v>
      </x:c>
      <x:c r="D12" s="18" t="str">
        <x:v>Illustrative ranking</x:v>
      </x:c>
      <x:c r="E12" s="18" t="str">
        <x:v>Close financing/economic gap</x:v>
      </x:c>
      <x:c r="F12" s="18" t="str">
        <x:v>Playbook</x:v>
      </x:c>
    </x:row>
    <x:row r="13">
      <x:c r="A13" s="18" t="str">
        <x:v>Matching</x:v>
      </x:c>
      <x:c r="B13" s="18" t="str">
        <x:v>Alternative</x:v>
      </x:c>
      <x:c r="C13" s="18" t="str">
        <x:v>Scheme 6 – FaaS</x:v>
      </x:c>
      <x:c r="D13" s="18" t="str">
        <x:v>Illustrative ranking</x:v>
      </x:c>
      <x:c r="E13" s="18" t="str">
        <x:v>Transfer asset/performance risk</x:v>
      </x:c>
      <x:c r="F13" s="18" t="str">
        <x:v>Playbook</x:v>
      </x:c>
    </x:row>
    <x:row r="14">
      <x:c r="A14" s="18" t="str">
        <x:v>Playbook</x:v>
      </x:c>
      <x:c r="B14" s="18" t="str">
        <x:v>Structure</x:v>
      </x:c>
      <x:c r="C14" s="18" t="str">
        <x:v>Blended / green finance + leasing/BaaS</x:v>
      </x:c>
      <x:c r="D14" s="18" t="str">
        <x:v>Scheme + risk allocation</x:v>
      </x:c>
      <x:c r="E14" s="18" t="str">
        <x:v>Reduce CAPEX + battery risk</x:v>
      </x:c>
      <x:c r="F14" s="18" t="str">
        <x:v>Implementation</x:v>
      </x:c>
    </x:row>
    <x:row r="15">
      <x:c r="A15" s="18" t="str">
        <x:v>Playbook</x:v>
      </x:c>
      <x:c r="B15" s="18" t="str">
        <x:v>Conditions</x:v>
      </x:c>
      <x:c r="C15" s="18" t="str">
        <x:v>Charging + SLA + warranty + provider capacity</x:v>
      </x:c>
      <x:c r="D15" s="18" t="str">
        <x:v>Operational/TCO/risk</x:v>
      </x:c>
      <x:c r="E15" s="18" t="str">
        <x:v>Execution prerequisites</x:v>
      </x:c>
      <x:c r="F15" s="18" t="str">
        <x:v>Implementation</x:v>
      </x:c>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32" hidden="0" customWidth="1"/>
    <x:col min="2" max="2" width="54" hidden="0" customWidth="1"/>
    <x:col min="3" max="3" width="56" hidden="0" customWidth="1"/>
    <x:col min="4" max="4" width="62" hidden="0" customWidth="1"/>
  </x:cols>
  <x:sheetData>
    <x:row r="1">
      <x:c r="A1" s="4" t="str">
        <x:v>METHOD, SOURCE BASIS &amp; VALIDATION NOTES</x:v>
      </x:c>
    </x:row>
    <x:row r="3">
      <x:c r="A3" s="18" t="str">
        <x:v>Item</x:v>
      </x:c>
      <x:c r="B3" s="18" t="str">
        <x:v>Basis</x:v>
      </x:c>
      <x:c r="C3" s="18" t="str">
        <x:v>Used for</x:v>
      </x:c>
      <x:c r="D3" s="18" t="str">
        <x:v>Validation</x:v>
      </x:c>
    </x:row>
    <x:row r="4">
      <x:c r="A4" s="18" t="str">
        <x:v>Bu Andani</x:v>
      </x:c>
      <x:c r="B4" s="18" t="str">
        <x:v>Existing SCE / Consumer Readiness framework</x:v>
      </x:c>
      <x:c r="C4" s="18" t="str">
        <x:v>Consumer Readiness context + selected SCE attributes</x:v>
      </x:c>
      <x:c r="D4" s="18" t="str">
        <x:v>Use approved SCE scoring output; do not double-count the SCE choice data in TCO</x:v>
      </x:c>
    </x:row>
    <x:row r="5">
      <x:c r="A5" s="18" t="str">
        <x:v>Pak Tilaka</x:v>
      </x:c>
      <x:c r="B5" s="18" t="str">
        <x:v>Existing City Readiness engine</x:v>
      </x:c>
      <x:c r="C5" s="18" t="str">
        <x:v>City CRI context: economic scale, infrastructure, policy/support, aftersales</x:v>
      </x:c>
      <x:c r="D5" s="18" t="str">
        <x:v>Load approved city database</x:v>
      </x:c>
    </x:row>
    <x:row r="6">
      <x:c r="A6" s="18" t="str">
        <x:v>Financing Questionnaire</x:v>
      </x:c>
      <x:c r="B6" s="18" t="str">
        <x:v>This workbook</x:v>
      </x:c>
      <x:c r="C6" s="18" t="str">
        <x:v>Financing Need, Risk Profile, TCO, Sustainable Finance, Government Support, Provider Supply</x:v>
      </x:c>
      <x:c r="D6" s="18" t="str">
        <x:v>Pilot wording and routing</x:v>
      </x:c>
    </x:row>
    <x:row r="7">
      <x:c r="A7" s="18" t="str">
        <x:v>TCO</x:v>
      </x:c>
      <x:c r="B7" s="18" t="str">
        <x:v>This workbook</x:v>
      </x:c>
      <x:c r="C7" s="18" t="str">
        <x:v>Cost/km, saving, payback, break-even</x:v>
      </x:c>
      <x:c r="D7" s="18" t="str">
        <x:v>Replace illustrative assumptions with verified Indonesia data</x:v>
      </x:c>
    </x:row>
    <x:row r="8">
      <x:c r="A8" s="18" t="str">
        <x:v>Project Economic Readiness</x:v>
      </x:c>
      <x:c r="B8" s="18" t="str">
        <x:v>Proposed</x:v>
      </x:c>
      <x:c r="C8" s="18" t="str">
        <x:v>TCO 50% + investment burden 25% + financing market access 25%</x:v>
      </x:c>
      <x:c r="D8" s="18" t="str">
        <x:v>Do not add city Economic Scale again</x:v>
      </x:c>
    </x:row>
    <x:row r="9">
      <x:c r="A9" s="18" t="str">
        <x:v>Scheme Matching</x:v>
      </x:c>
      <x:c r="B9" s="18" t="str">
        <x:v>Proposed</x:v>
      </x:c>
      <x:c r="C9" s="18" t="str">
        <x:v>Primary/alternative financing instrument</x:v>
      </x:c>
      <x:c r="D9" s="18" t="str">
        <x:v>Validate rules and weights with pilot/provider data</x:v>
      </x:c>
    </x:row>
    <x:row r="10">
      <x:c r="A10" s="18" t="str">
        <x:v>Financing Playbook</x:v>
      </x:c>
      <x:c r="B10" s="18" t="str">
        <x:v>Derived</x:v>
      </x:c>
      <x:c r="C10" s="18" t="str">
        <x:v>Structure, risk allocation, support, implementation conditions</x:v>
      </x:c>
      <x:c r="D10" s="18" t="str">
        <x:v>Decision support, not credit approval</x:v>
      </x:c>
    </x:row>
    <x:row r="11">
      <x:c r="A11" s="18" t="str">
        <x:v>Scope</x:v>
      </x:c>
      <x:c r="B11" s="18" t="str">
        <x:v>Cold chain + Government fleet</x:v>
      </x:c>
      <x:c r="C11" s="18" t="str">
        <x:v>Universal common core + use-case add-ons</x:v>
      </x:c>
      <x:c r="D11" s="18" t="str">
        <x:v>Routing avoids irrelevant questions</x:v>
      </x:c>
    </x:row>
    <x:row r="13">
      <x:c r="A13" s="18" t="str">
        <x:v>Open data principle</x:v>
      </x:c>
      <x:c r="B13" s="18" t="str">
        <x:v>Collect public/official data before adding survey questions.</x:v>
      </x:c>
      <x:c r="C13" s="18" t="str">
        <x:v>Applies to CRI, infrastructure, tariffs, fuel prices, policy, vehicle benchmarks and public financing products.</x:v>
      </x:c>
      <x:c r="D13" s="18" t="str">
        <x:v>Revalidate at each refresh cycle</x:v>
      </x:c>
    </x:row>
    <x:row r="14">
      <x:c r="A14" s="18" t="str">
        <x:v>Bu Andani</x:v>
      </x:c>
      <x:c r="B14" s="18" t="str">
        <x:v>Existing Consumer Readiness output</x:v>
      </x:c>
      <x:c r="C14" s="18" t="str">
        <x:v>Pre-populate; do not re-ask if already available.</x:v>
      </x:c>
      <x:c r="D14" s="18" t="str">
        <x:v>Use approved SCE output</x:v>
      </x:c>
    </x:row>
    <x:row r="15">
      <x:c r="A15" s="18" t="str">
        <x:v>Pak Tilaka</x:v>
      </x:c>
      <x:c r="B15" s="18" t="str">
        <x:v>Existing City CRI output</x:v>
      </x:c>
      <x:c r="C15" s="18" t="str">
        <x:v>Pre-populate city context; do not re-ask if already available.</x:v>
      </x:c>
      <x:c r="D15" s="18" t="str">
        <x:v>Use approved city database</x:v>
      </x:c>
    </x:row>
    <x:row r="16">
      <x:c r="A16" s="18" t="str">
        <x:v>Stakeholder-specific data</x:v>
      </x:c>
      <x:c r="B16" s="18" t="str">
        <x:v>Financing Need, Risk Profile, project operating inputs, preferences</x:v>
      </x:c>
      <x:c r="C16" s="18" t="str">
        <x:v>Keep in questionnaire because these are not reliably observable from open data.</x:v>
      </x:c>
      <x:c r="D16" s="18" t="str">
        <x:v>Pilot wording/routing</x:v>
      </x:c>
    </x:row>
    <x:row r="17">
      <x:c r="A17" s="18" t="str">
        <x:v>TCO public benchmarks</x:v>
      </x:c>
      <x:c r="B17" s="18" t="str">
        <x:v>Fuel, electricity, vehicle specs/prices, infrastructure</x:v>
      </x:c>
      <x:c r="C17" s="18" t="str">
        <x:v>Use as default benchmarks; allow respondent override when actual project data is available.</x:v>
      </x:c>
      <x:c r="D17" s="18" t="str">
        <x:v>Label source and date</x:v>
      </x:c>
    </x:row>
    <x:row r="18">
      <x:c r="A18" s="18" t="str">
        <x:v>Provider supply</x:v>
      </x:c>
      <x:c r="B18" s="18" t="str">
        <x:v>Public product information + direct provider validation</x:v>
      </x:c>
      <x:c r="C18" s="18" t="str">
        <x:v>Use public sources for initial mapping; validate actual deal terms before recommendation.</x:v>
      </x:c>
      <x:c r="D18" s="18" t="str">
        <x:v>Transaction terms remain indicative until confirmed</x:v>
      </x:c>
    </x:row>
  </x:sheetData>
  <x:mergeCells>
    <x:mergeCell ref="A1:D1"/>
  </x:mergeCells>
  <x:pageMargins left="0.7" right="0.7" top="0.75" bottom="0.75" header="0.3" footer="0.3"/>
</x:worksheet>
</file>